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8" codeName="{E5D1E7B1-6628-F0F0-D09B-76B25B5F3CD3}"/>
  <workbookPr updateLinks="always" codeName="ThisWorkbook" hidePivotFieldList="1" defaultThemeVersion="166925"/>
  <mc:AlternateContent xmlns:mc="http://schemas.openxmlformats.org/markup-compatibility/2006">
    <mc:Choice Requires="x15">
      <x15ac:absPath xmlns:x15ac="http://schemas.microsoft.com/office/spreadsheetml/2010/11/ac" url="/Users/tom.mackall/dashboards/"/>
    </mc:Choice>
  </mc:AlternateContent>
  <xr:revisionPtr revIDLastSave="0" documentId="8_{47AB3F22-559C-4642-89F0-06DA19EFA548}" xr6:coauthVersionLast="47" xr6:coauthVersionMax="47" xr10:uidLastSave="{00000000-0000-0000-0000-000000000000}"/>
  <bookViews>
    <workbookView xWindow="14700" yWindow="660" windowWidth="14700" windowHeight="16860" tabRatio="724" activeTab="1" xr2:uid="{CBDEE084-2504-1741-833B-E820F6D7F0EE}"/>
  </bookViews>
  <sheets>
    <sheet name="Approach" sheetId="71" r:id="rId1"/>
    <sheet name="Layer to Metric (mapping)" sheetId="74" r:id="rId2"/>
    <sheet name="Instructions" sheetId="47" r:id="rId3"/>
    <sheet name="Heatmap Target" sheetId="69" r:id="rId4"/>
    <sheet name="AI (Heatmap)" sheetId="6" r:id="rId5"/>
    <sheet name="AI (Raw data)" sheetId="29" r:id="rId6"/>
    <sheet name="Maturity Assessment (Summary)" sheetId="84" r:id="rId7"/>
    <sheet name="AI (Maturity Eval)" sheetId="73" r:id="rId8"/>
    <sheet name="BEpics" sheetId="88" r:id="rId9"/>
    <sheet name="RACI" sheetId="86" r:id="rId10"/>
  </sheets>
  <functionGroups builtInGroupCount="19"/>
  <externalReferences>
    <externalReference r:id="rId11"/>
  </externalReferences>
  <definedNames>
    <definedName name="_xlnm._FilterDatabase" localSheetId="4" hidden="1">'AI (Heatmap)'!$B$12:$N$12</definedName>
    <definedName name="_xlnm._FilterDatabase" localSheetId="7" hidden="1">'AI (Maturity Eval)'!$B$1:$H$62</definedName>
    <definedName name="_xlnm._FilterDatabase" localSheetId="5" hidden="1">'AI (Raw data)'!$B$2:$T$2</definedName>
    <definedName name="_xlnm._FilterDatabase" localSheetId="1" hidden="1">'Layer to Metric (mapping)'!$B$2:$E$2</definedName>
  </definedNames>
  <calcPr calcId="191028"/>
  <pivotCaches>
    <pivotCache cacheId="1"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0" i="6" l="1"/>
  <c r="A3" i="88"/>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13" i="6"/>
  <c r="BF17" i="84"/>
  <c r="BE17" i="84"/>
  <c r="BD17" i="84"/>
  <c r="BC17" i="84"/>
  <c r="BB17" i="84"/>
  <c r="BA17" i="84"/>
  <c r="X10" i="6"/>
  <c r="W10" i="6"/>
  <c r="V10" i="6"/>
  <c r="K10" i="6"/>
  <c r="J10" i="6"/>
  <c r="K8" i="6"/>
  <c r="K7" i="6"/>
  <c r="K6" i="6"/>
  <c r="K5" i="6"/>
  <c r="K4" i="6"/>
  <c r="K3" i="6"/>
  <c r="J8" i="6"/>
  <c r="J7" i="6"/>
  <c r="J6" i="6"/>
  <c r="J5" i="6"/>
  <c r="J4" i="6"/>
  <c r="J3" i="6"/>
  <c r="T4" i="29"/>
  <c r="T5" i="29"/>
  <c r="T6" i="29"/>
  <c r="T7" i="29"/>
  <c r="T8" i="29"/>
  <c r="T9" i="29"/>
  <c r="T10" i="29"/>
  <c r="T11" i="29"/>
  <c r="T12" i="29"/>
  <c r="T13" i="29"/>
  <c r="T14" i="29"/>
  <c r="T15" i="29"/>
  <c r="T16" i="29"/>
  <c r="T17" i="29"/>
  <c r="T18" i="29"/>
  <c r="T19" i="29"/>
  <c r="T20" i="29"/>
  <c r="T21" i="29"/>
  <c r="T22" i="29"/>
  <c r="T23" i="29"/>
  <c r="T24" i="29"/>
  <c r="T25" i="29"/>
  <c r="T26" i="29"/>
  <c r="T27" i="29"/>
  <c r="T28" i="29"/>
  <c r="T29" i="29"/>
  <c r="T30" i="29"/>
  <c r="T31" i="29"/>
  <c r="T32" i="29"/>
  <c r="T33" i="29"/>
  <c r="T34" i="29"/>
  <c r="T35" i="29"/>
  <c r="T36" i="29"/>
  <c r="T37" i="29"/>
  <c r="T38" i="29"/>
  <c r="T39" i="29"/>
  <c r="T40" i="29"/>
  <c r="T41" i="29"/>
  <c r="T42" i="29"/>
  <c r="T43" i="29"/>
  <c r="T44" i="29"/>
  <c r="T45" i="29"/>
  <c r="T46" i="29"/>
  <c r="T47" i="29"/>
  <c r="T48" i="29"/>
  <c r="T49" i="29"/>
  <c r="T50" i="29"/>
  <c r="T51" i="29"/>
  <c r="T52" i="29"/>
  <c r="T53" i="29"/>
  <c r="T3" i="29"/>
  <c r="S4" i="29"/>
  <c r="S5" i="29"/>
  <c r="S6" i="29"/>
  <c r="S7" i="29"/>
  <c r="S8" i="29"/>
  <c r="S9" i="29"/>
  <c r="S10" i="29"/>
  <c r="S11" i="29"/>
  <c r="S12" i="29"/>
  <c r="S13" i="29"/>
  <c r="S14" i="29"/>
  <c r="S15" i="29"/>
  <c r="S16" i="29"/>
  <c r="S17" i="29"/>
  <c r="S18" i="29"/>
  <c r="S19" i="29"/>
  <c r="S20" i="29"/>
  <c r="S21" i="29"/>
  <c r="S22" i="29"/>
  <c r="S23" i="29"/>
  <c r="S24" i="29"/>
  <c r="S25" i="29"/>
  <c r="S26" i="29"/>
  <c r="S27" i="29"/>
  <c r="S28" i="29"/>
  <c r="S29" i="29"/>
  <c r="S30" i="29"/>
  <c r="S31" i="29"/>
  <c r="S32" i="29"/>
  <c r="S33" i="29"/>
  <c r="S34" i="29"/>
  <c r="S35" i="29"/>
  <c r="S36" i="29"/>
  <c r="S37" i="29"/>
  <c r="S38" i="29"/>
  <c r="S39" i="29"/>
  <c r="S40" i="29"/>
  <c r="S41" i="29"/>
  <c r="S42" i="29"/>
  <c r="S43" i="29"/>
  <c r="S44" i="29"/>
  <c r="S45" i="29"/>
  <c r="S46" i="29"/>
  <c r="S47" i="29"/>
  <c r="S48" i="29"/>
  <c r="S49" i="29"/>
  <c r="S50" i="29"/>
  <c r="S51" i="29"/>
  <c r="S52" i="29"/>
  <c r="S53" i="29"/>
  <c r="S3" i="29"/>
  <c r="R4" i="29"/>
  <c r="R5" i="29"/>
  <c r="R6" i="29"/>
  <c r="R7" i="29"/>
  <c r="R8" i="29"/>
  <c r="R9" i="29"/>
  <c r="R10" i="29"/>
  <c r="R11" i="29"/>
  <c r="R12" i="29"/>
  <c r="R13" i="29"/>
  <c r="R14" i="29"/>
  <c r="R15" i="29"/>
  <c r="R16" i="29"/>
  <c r="R17" i="29"/>
  <c r="R18" i="29"/>
  <c r="R19" i="29"/>
  <c r="R20" i="29"/>
  <c r="R21" i="29"/>
  <c r="R22" i="29"/>
  <c r="R23" i="29"/>
  <c r="R24" i="29"/>
  <c r="R25" i="29"/>
  <c r="R26" i="29"/>
  <c r="R27" i="29"/>
  <c r="R28" i="29"/>
  <c r="R29" i="29"/>
  <c r="R30" i="29"/>
  <c r="R31" i="29"/>
  <c r="R32" i="29"/>
  <c r="R33" i="29"/>
  <c r="R34" i="29"/>
  <c r="R35" i="29"/>
  <c r="R36" i="29"/>
  <c r="R37" i="29"/>
  <c r="R38" i="29"/>
  <c r="R39" i="29"/>
  <c r="R40" i="29"/>
  <c r="R41" i="29"/>
  <c r="R42" i="29"/>
  <c r="R43" i="29"/>
  <c r="R44" i="29"/>
  <c r="R45" i="29"/>
  <c r="R46" i="29"/>
  <c r="R47" i="29"/>
  <c r="R48" i="29"/>
  <c r="R49" i="29"/>
  <c r="R50" i="29"/>
  <c r="R51" i="29"/>
  <c r="R52" i="29"/>
  <c r="R53" i="29"/>
  <c r="R3"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4" i="29"/>
  <c r="G3" i="29"/>
  <c r="F5" i="29"/>
  <c r="F6" i="29"/>
  <c r="F7" i="29"/>
  <c r="F8" i="29"/>
  <c r="F9" i="29"/>
  <c r="F10" i="29"/>
  <c r="F11" i="29"/>
  <c r="F12" i="29"/>
  <c r="F13" i="29"/>
  <c r="F14" i="29"/>
  <c r="F15" i="29"/>
  <c r="F16" i="29"/>
  <c r="F17" i="29"/>
  <c r="F18" i="29"/>
  <c r="F19" i="29"/>
  <c r="F20" i="29"/>
  <c r="F21" i="29"/>
  <c r="F22" i="29"/>
  <c r="F23" i="29"/>
  <c r="F24" i="29"/>
  <c r="F25" i="29"/>
  <c r="F26" i="29"/>
  <c r="F27" i="29"/>
  <c r="F28" i="29"/>
  <c r="F29" i="29"/>
  <c r="F30" i="29"/>
  <c r="F31" i="29"/>
  <c r="F32" i="29"/>
  <c r="F33" i="29"/>
  <c r="F34" i="29"/>
  <c r="F35" i="29"/>
  <c r="F36" i="29"/>
  <c r="F37" i="29"/>
  <c r="F38" i="29"/>
  <c r="F39" i="29"/>
  <c r="F40" i="29"/>
  <c r="F41" i="29"/>
  <c r="F42" i="29"/>
  <c r="F43" i="29"/>
  <c r="F44" i="29"/>
  <c r="F45" i="29"/>
  <c r="F46" i="29"/>
  <c r="F47" i="29"/>
  <c r="F48" i="29"/>
  <c r="F49" i="29"/>
  <c r="F50" i="29"/>
  <c r="F51" i="29"/>
  <c r="F52" i="29"/>
  <c r="F4" i="29"/>
  <c r="F3" i="29"/>
  <c r="T2" i="29"/>
  <c r="S2" i="29"/>
  <c r="R2" i="29"/>
  <c r="Q2" i="29"/>
  <c r="G2" i="29"/>
  <c r="F2" i="29"/>
  <c r="J126" i="88" a="1"/>
  <c r="J126" i="88" s="1"/>
  <c r="J125" i="88" s="1"/>
  <c r="H126" i="88" a="1"/>
  <c r="H126" i="88" s="1"/>
  <c r="H125" i="88" s="1"/>
  <c r="F126" i="88" a="1"/>
  <c r="F126" i="88" s="1"/>
  <c r="F125" i="88" s="1"/>
  <c r="D126" i="88" a="1"/>
  <c r="D126" i="88" s="1"/>
  <c r="D125" i="88" s="1"/>
  <c r="B126" i="88" a="1"/>
  <c r="B126" i="88" s="1"/>
  <c r="B125" i="88" s="1"/>
  <c r="J118" i="88" a="1"/>
  <c r="J118" i="88" s="1"/>
  <c r="J117" i="88" s="1"/>
  <c r="H118" i="88" a="1"/>
  <c r="H118" i="88" s="1"/>
  <c r="H117" i="88" s="1"/>
  <c r="F118" i="88" a="1"/>
  <c r="F118" i="88" s="1"/>
  <c r="F117" i="88" s="1"/>
  <c r="D118" i="88" a="1"/>
  <c r="D118" i="88" s="1"/>
  <c r="D117" i="88" s="1"/>
  <c r="B118" i="88" a="1"/>
  <c r="B118" i="88" s="1"/>
  <c r="B117" i="88" s="1"/>
  <c r="X8" i="6"/>
  <c r="X5" i="6"/>
  <c r="V7" i="6"/>
  <c r="V6" i="6"/>
  <c r="CF11" i="73"/>
  <c r="BV11" i="73"/>
  <c r="CA11" i="73"/>
  <c r="AX17" i="84"/>
  <c r="AV17" i="84"/>
  <c r="AU17" i="84"/>
  <c r="AT17" i="84"/>
  <c r="AS17" i="84"/>
  <c r="AW17" i="84"/>
  <c r="S11" i="73"/>
  <c r="N11" i="73"/>
  <c r="BQ11" i="73"/>
  <c r="AW11" i="73"/>
  <c r="A81" i="88" s="1"/>
  <c r="J110" i="88" a="1"/>
  <c r="J110" i="88" s="1"/>
  <c r="J109" i="88" s="1"/>
  <c r="H110" i="88" a="1"/>
  <c r="H110" i="88" s="1"/>
  <c r="H109" i="88" s="1"/>
  <c r="F110" i="88" a="1"/>
  <c r="F110" i="88" s="1"/>
  <c r="F109" i="88" s="1"/>
  <c r="D110" i="88" a="1"/>
  <c r="D110" i="88" s="1"/>
  <c r="D109" i="88" s="1"/>
  <c r="B110" i="88" a="1"/>
  <c r="B110" i="88" s="1"/>
  <c r="B109" i="88" s="1"/>
  <c r="J102" i="88" a="1"/>
  <c r="J102" i="88" s="1"/>
  <c r="J101" i="88" s="1"/>
  <c r="H102" i="88" a="1"/>
  <c r="H102" i="88" s="1"/>
  <c r="H101" i="88" s="1"/>
  <c r="F102" i="88" a="1"/>
  <c r="F102" i="88" s="1"/>
  <c r="F101" i="88" s="1"/>
  <c r="D102" i="88" a="1"/>
  <c r="D102" i="88" s="1"/>
  <c r="D101" i="88" s="1"/>
  <c r="B102" i="88" a="1"/>
  <c r="B102" i="88" s="1"/>
  <c r="B101" i="88" s="1"/>
  <c r="J94" i="88" a="1"/>
  <c r="J94" i="88" s="1"/>
  <c r="J93" i="88" s="1"/>
  <c r="H94" i="88" a="1"/>
  <c r="H94" i="88" s="1"/>
  <c r="H93" i="88" s="1"/>
  <c r="F94" i="88" a="1"/>
  <c r="F94" i="88" s="1"/>
  <c r="F93" i="88" s="1"/>
  <c r="D94" i="88" a="1"/>
  <c r="D94" i="88" s="1"/>
  <c r="D93" i="88" s="1"/>
  <c r="B94" i="88" a="1"/>
  <c r="B94" i="88" s="1"/>
  <c r="B93" i="88" s="1"/>
  <c r="J86" i="88" a="1"/>
  <c r="J86" i="88" s="1"/>
  <c r="J85" i="88" s="1"/>
  <c r="H86" i="88" a="1"/>
  <c r="H86" i="88" s="1"/>
  <c r="H85" i="88" s="1"/>
  <c r="F86" i="88" a="1"/>
  <c r="F86" i="88" s="1"/>
  <c r="F85" i="88" s="1"/>
  <c r="D86" i="88" a="1"/>
  <c r="D86" i="88" s="1"/>
  <c r="D85" i="88" s="1"/>
  <c r="B86" i="88" a="1"/>
  <c r="B86" i="88" s="1"/>
  <c r="B85" i="88" s="1"/>
  <c r="J78" i="88" a="1"/>
  <c r="J78" i="88" s="1"/>
  <c r="J77" i="88" s="1"/>
  <c r="H78" i="88" a="1"/>
  <c r="H78" i="88" s="1"/>
  <c r="H77" i="88" s="1"/>
  <c r="F78" i="88" a="1"/>
  <c r="F78" i="88" s="1"/>
  <c r="F77" i="88" s="1"/>
  <c r="D78" i="88" a="1"/>
  <c r="D78" i="88" s="1"/>
  <c r="D77" i="88" s="1"/>
  <c r="B78" i="88" a="1"/>
  <c r="B78" i="88" s="1"/>
  <c r="B77" i="88" s="1"/>
  <c r="J70" i="88" a="1"/>
  <c r="J70" i="88" s="1"/>
  <c r="J69" i="88" s="1"/>
  <c r="H70" i="88" a="1"/>
  <c r="H70" i="88" s="1"/>
  <c r="H69" i="88" s="1"/>
  <c r="F70" i="88" a="1"/>
  <c r="F70" i="88" s="1"/>
  <c r="F69" i="88" s="1"/>
  <c r="D70" i="88" a="1"/>
  <c r="D70" i="88" s="1"/>
  <c r="D69" i="88" s="1"/>
  <c r="B70" i="88" a="1"/>
  <c r="B70" i="88" s="1"/>
  <c r="B69" i="88" s="1"/>
  <c r="J62" i="88" a="1"/>
  <c r="J62" i="88" s="1"/>
  <c r="J61" i="88" s="1"/>
  <c r="H62" i="88" a="1"/>
  <c r="H62" i="88" s="1"/>
  <c r="H61" i="88" s="1"/>
  <c r="F62" i="88" a="1"/>
  <c r="F62" i="88" s="1"/>
  <c r="F61" i="88" s="1"/>
  <c r="D62" i="88" a="1"/>
  <c r="D62" i="88" s="1"/>
  <c r="D61" i="88" s="1"/>
  <c r="B62" i="88" a="1"/>
  <c r="B62" i="88" s="1"/>
  <c r="B61" i="88" s="1"/>
  <c r="J54" i="88" a="1"/>
  <c r="J54" i="88" s="1"/>
  <c r="J53" i="88" s="1"/>
  <c r="H54" i="88" a="1"/>
  <c r="H54" i="88" s="1"/>
  <c r="H53" i="88" s="1"/>
  <c r="F54" i="88" a="1"/>
  <c r="F54" i="88" s="1"/>
  <c r="F53" i="88" s="1"/>
  <c r="D54" i="88" a="1"/>
  <c r="D54" i="88" s="1"/>
  <c r="D53" i="88" s="1"/>
  <c r="B54" i="88" a="1"/>
  <c r="B54" i="88" s="1"/>
  <c r="B53" i="88" s="1"/>
  <c r="J46" i="88" a="1"/>
  <c r="J46" i="88" s="1"/>
  <c r="J45" i="88" s="1"/>
  <c r="H46" i="88" a="1"/>
  <c r="H46" i="88" s="1"/>
  <c r="H45" i="88" s="1"/>
  <c r="F46" i="88" a="1"/>
  <c r="F46" i="88" s="1"/>
  <c r="F45" i="88" s="1"/>
  <c r="D46" i="88" a="1"/>
  <c r="D46" i="88" s="1"/>
  <c r="D45" i="88" s="1"/>
  <c r="B46" i="88" a="1"/>
  <c r="B46" i="88" s="1"/>
  <c r="B45" i="88" s="1"/>
  <c r="J38" i="88" a="1"/>
  <c r="J38" i="88" s="1"/>
  <c r="J37" i="88" s="1"/>
  <c r="H38" i="88" a="1"/>
  <c r="H38" i="88" s="1"/>
  <c r="H37" i="88" s="1"/>
  <c r="F38" i="88" a="1"/>
  <c r="F38" i="88" s="1"/>
  <c r="F37" i="88" s="1"/>
  <c r="D38" i="88" a="1"/>
  <c r="D38" i="88" s="1"/>
  <c r="D37" i="88" s="1"/>
  <c r="B38" i="88" a="1"/>
  <c r="B38" i="88" s="1"/>
  <c r="B37" i="88" s="1"/>
  <c r="J30" i="88" a="1"/>
  <c r="J30" i="88" s="1"/>
  <c r="J29" i="88" s="1"/>
  <c r="H30" i="88" a="1"/>
  <c r="H30" i="88" s="1"/>
  <c r="H29" i="88" s="1"/>
  <c r="F30" i="88" a="1"/>
  <c r="F30" i="88" s="1"/>
  <c r="F29" i="88" s="1"/>
  <c r="D30" i="88" a="1"/>
  <c r="D30" i="88" s="1"/>
  <c r="D29" i="88" s="1"/>
  <c r="B30" i="88" a="1"/>
  <c r="B30" i="88" s="1"/>
  <c r="B29" i="88" s="1"/>
  <c r="J22" i="88" a="1"/>
  <c r="J22" i="88" s="1"/>
  <c r="J21" i="88" s="1"/>
  <c r="H22" i="88" a="1"/>
  <c r="H22" i="88" s="1"/>
  <c r="H21" i="88" s="1"/>
  <c r="F22" i="88" a="1"/>
  <c r="F22" i="88" s="1"/>
  <c r="F21" i="88" s="1"/>
  <c r="D22" i="88" a="1"/>
  <c r="D22" i="88" s="1"/>
  <c r="D21" i="88" s="1"/>
  <c r="B22" i="88" a="1"/>
  <c r="B22" i="88" s="1"/>
  <c r="B21" i="88" s="1"/>
  <c r="J20" i="88" a="1"/>
  <c r="J20" i="88" s="1"/>
  <c r="H20" i="88" a="1"/>
  <c r="H20" i="88" s="1"/>
  <c r="F20" i="88" a="1"/>
  <c r="F20" i="88" s="1"/>
  <c r="D20" i="88" a="1"/>
  <c r="D20" i="88" s="1"/>
  <c r="B20" i="88" a="1"/>
  <c r="B20" i="88" s="1"/>
  <c r="A15" i="88"/>
  <c r="A14" i="88"/>
  <c r="A13" i="88"/>
  <c r="A12" i="88"/>
  <c r="A11" i="88"/>
  <c r="A8" i="88"/>
  <c r="A7" i="88"/>
  <c r="A6" i="88"/>
  <c r="A5" i="88"/>
  <c r="A4" i="88"/>
  <c r="A2" i="88"/>
  <c r="A117" i="88" l="1"/>
  <c r="X4" i="6"/>
  <c r="V5" i="6"/>
  <c r="V8" i="6"/>
  <c r="W7" i="6"/>
  <c r="W6" i="6"/>
  <c r="W8" i="6"/>
  <c r="X7" i="6"/>
  <c r="V4" i="6"/>
  <c r="W5" i="6"/>
  <c r="W4" i="6"/>
  <c r="X6" i="6"/>
  <c r="A125" i="88"/>
  <c r="X3" i="6"/>
  <c r="W3" i="6"/>
  <c r="V3" i="6"/>
  <c r="A45" i="88"/>
  <c r="A79" i="88"/>
  <c r="A82" i="88"/>
  <c r="A80" i="88"/>
  <c r="A78" i="88"/>
  <c r="A85" i="88"/>
  <c r="A61" i="88"/>
  <c r="J19" i="88"/>
  <c r="A53" i="88"/>
  <c r="A77" i="88"/>
  <c r="A69" i="88"/>
  <c r="A101" i="88"/>
  <c r="D19" i="88"/>
  <c r="A37" i="88"/>
  <c r="F19" i="88"/>
  <c r="A93" i="88"/>
  <c r="H19" i="88"/>
  <c r="A21" i="88"/>
  <c r="B19" i="88"/>
  <c r="A29" i="88"/>
  <c r="A109" i="88"/>
  <c r="A17" i="88" l="1"/>
  <c r="AT19" i="84" l="1"/>
  <c r="G41" i="84" s="1"/>
  <c r="CD17" i="84"/>
  <c r="CC17" i="84"/>
  <c r="CC33" i="84" s="1"/>
  <c r="CB17" i="84"/>
  <c r="CB33" i="84" s="1"/>
  <c r="CA17" i="84"/>
  <c r="CA33" i="84" s="1"/>
  <c r="BZ17" i="84"/>
  <c r="BZ33" i="84" s="1"/>
  <c r="BY17" i="84"/>
  <c r="BY33" i="84" s="1"/>
  <c r="Q4" i="6"/>
  <c r="Q6" i="6"/>
  <c r="Q7" i="6"/>
  <c r="BI17" i="84"/>
  <c r="BI33" i="84" s="1"/>
  <c r="DI21" i="84"/>
  <c r="DH21" i="84"/>
  <c r="DG21" i="84"/>
  <c r="DF21" i="84"/>
  <c r="DE21" i="84"/>
  <c r="DA21" i="84"/>
  <c r="CZ21" i="84"/>
  <c r="CY21" i="84"/>
  <c r="CX21" i="84"/>
  <c r="CW21" i="84"/>
  <c r="CS21" i="84"/>
  <c r="CR21" i="84"/>
  <c r="CQ21" i="84"/>
  <c r="CP21" i="84"/>
  <c r="CO21" i="84"/>
  <c r="CK21" i="84"/>
  <c r="CJ21" i="84"/>
  <c r="CI21" i="84"/>
  <c r="CH21" i="84"/>
  <c r="CG21" i="84"/>
  <c r="CC21" i="84"/>
  <c r="CB21" i="84"/>
  <c r="CA21" i="84"/>
  <c r="BZ21" i="84"/>
  <c r="BY21" i="84"/>
  <c r="BU21" i="84"/>
  <c r="BT21" i="84"/>
  <c r="BS21" i="84"/>
  <c r="BR21" i="84"/>
  <c r="BQ21" i="84"/>
  <c r="DI20" i="84"/>
  <c r="N49" i="84" s="1"/>
  <c r="DH20" i="84"/>
  <c r="L49" i="84" s="1"/>
  <c r="DG20" i="84"/>
  <c r="J49" i="84" s="1"/>
  <c r="DF20" i="84"/>
  <c r="H49" i="84" s="1"/>
  <c r="DA20" i="84"/>
  <c r="N48" i="84" s="1"/>
  <c r="CZ20" i="84"/>
  <c r="L48" i="84" s="1"/>
  <c r="CY20" i="84"/>
  <c r="J48" i="84" s="1"/>
  <c r="CX20" i="84"/>
  <c r="H48" i="84" s="1"/>
  <c r="CS20" i="84"/>
  <c r="N47" i="84" s="1"/>
  <c r="CR20" i="84"/>
  <c r="L47" i="84" s="1"/>
  <c r="CQ20" i="84"/>
  <c r="J47" i="84" s="1"/>
  <c r="CP20" i="84"/>
  <c r="H47" i="84" s="1"/>
  <c r="P47" i="84" s="1"/>
  <c r="CK20" i="84"/>
  <c r="N46" i="84" s="1"/>
  <c r="CJ20" i="84"/>
  <c r="L46" i="84" s="1"/>
  <c r="CI20" i="84"/>
  <c r="J46" i="84" s="1"/>
  <c r="CH20" i="84"/>
  <c r="H46" i="84" s="1"/>
  <c r="CC20" i="84"/>
  <c r="N45" i="84" s="1"/>
  <c r="CB20" i="84"/>
  <c r="L45" i="84" s="1"/>
  <c r="CA20" i="84"/>
  <c r="J45" i="84" s="1"/>
  <c r="BZ20" i="84"/>
  <c r="H45" i="84" s="1"/>
  <c r="BU20" i="84"/>
  <c r="N44" i="84" s="1"/>
  <c r="BT20" i="84"/>
  <c r="L44" i="84" s="1"/>
  <c r="BS20" i="84"/>
  <c r="J44" i="84" s="1"/>
  <c r="BR20" i="84"/>
  <c r="H44" i="84" s="1"/>
  <c r="DE20" i="84"/>
  <c r="F49" i="84" s="1"/>
  <c r="CW20" i="84"/>
  <c r="F48" i="84" s="1"/>
  <c r="CO20" i="84"/>
  <c r="F47" i="84" s="1"/>
  <c r="CG20" i="84"/>
  <c r="F46" i="84" s="1"/>
  <c r="BY20" i="84"/>
  <c r="F45" i="84" s="1"/>
  <c r="P45" i="84" s="1"/>
  <c r="BQ20" i="84"/>
  <c r="F44" i="84" s="1"/>
  <c r="BM21" i="84"/>
  <c r="BL21" i="84"/>
  <c r="BK21" i="84"/>
  <c r="BJ21" i="84"/>
  <c r="BI21" i="84"/>
  <c r="BM20" i="84"/>
  <c r="N43" i="84" s="1"/>
  <c r="BL20" i="84"/>
  <c r="L43" i="84" s="1"/>
  <c r="BK20" i="84"/>
  <c r="J43" i="84" s="1"/>
  <c r="BJ20" i="84"/>
  <c r="H43" i="84" s="1"/>
  <c r="BI20" i="84"/>
  <c r="F43" i="84" s="1"/>
  <c r="P43" i="84" s="1"/>
  <c r="BJ19" i="84"/>
  <c r="G43" i="84" s="1"/>
  <c r="DB17" i="84"/>
  <c r="DA17" i="84"/>
  <c r="K15" i="84" s="1"/>
  <c r="CZ17" i="84"/>
  <c r="CZ33" i="84" s="1"/>
  <c r="CY17" i="84"/>
  <c r="I15" i="84" s="1"/>
  <c r="CX17" i="84"/>
  <c r="H15" i="84" s="1"/>
  <c r="CW17" i="84"/>
  <c r="G15" i="84" s="1"/>
  <c r="BN17" i="84"/>
  <c r="BM17" i="84"/>
  <c r="BM33" i="84" s="1"/>
  <c r="BL17" i="84"/>
  <c r="BL33" i="84" s="1"/>
  <c r="BK17" i="84"/>
  <c r="BK33" i="84" s="1"/>
  <c r="BJ17" i="84"/>
  <c r="BJ33" i="84" s="1"/>
  <c r="K9" i="84"/>
  <c r="J9" i="84"/>
  <c r="I9" i="84"/>
  <c r="H9" i="84"/>
  <c r="G9" i="84"/>
  <c r="K8" i="84"/>
  <c r="J8" i="84"/>
  <c r="I8" i="84"/>
  <c r="AT33" i="84"/>
  <c r="G8" i="84"/>
  <c r="AP17" i="84"/>
  <c r="AO17" i="84"/>
  <c r="K7" i="84" s="1"/>
  <c r="AN17" i="84"/>
  <c r="J7" i="84" s="1"/>
  <c r="AM17" i="84"/>
  <c r="I7" i="84" s="1"/>
  <c r="AL17" i="84"/>
  <c r="AL33" i="84" s="1"/>
  <c r="AK17" i="84"/>
  <c r="AK33" i="84" s="1"/>
  <c r="AH17" i="84"/>
  <c r="AG17" i="84"/>
  <c r="AG33" i="84" s="1"/>
  <c r="AF17" i="84"/>
  <c r="AF33" i="84" s="1"/>
  <c r="AE17" i="84"/>
  <c r="I6" i="84" s="1"/>
  <c r="AD17" i="84"/>
  <c r="H6" i="84" s="1"/>
  <c r="AC17" i="84"/>
  <c r="AC33" i="84" s="1"/>
  <c r="Z17" i="84"/>
  <c r="Y17" i="84"/>
  <c r="K5" i="84" s="1"/>
  <c r="X17" i="84"/>
  <c r="J5" i="84" s="1"/>
  <c r="W17" i="84"/>
  <c r="W33" i="84" s="1"/>
  <c r="V17" i="84"/>
  <c r="H5" i="84" s="1"/>
  <c r="U17" i="84"/>
  <c r="U33" i="84" s="1"/>
  <c r="BX1" i="84"/>
  <c r="DE17" i="84"/>
  <c r="DE33" i="84" s="1"/>
  <c r="DF17" i="84"/>
  <c r="DF33" i="84" s="1"/>
  <c r="DG17" i="84"/>
  <c r="DG33" i="84" s="1"/>
  <c r="DH17" i="84"/>
  <c r="DH33" i="84" s="1"/>
  <c r="DI17" i="84"/>
  <c r="DI33" i="84" s="1"/>
  <c r="DJ17" i="84"/>
  <c r="CO17" i="84"/>
  <c r="CO33" i="84" s="1"/>
  <c r="CP17" i="84"/>
  <c r="CP33" i="84" s="1"/>
  <c r="CQ17" i="84"/>
  <c r="CQ33" i="84" s="1"/>
  <c r="CR17" i="84"/>
  <c r="CR33" i="84" s="1"/>
  <c r="CS17" i="84"/>
  <c r="CS33" i="84" s="1"/>
  <c r="CT17" i="84"/>
  <c r="CG17" i="84"/>
  <c r="CG33" i="84" s="1"/>
  <c r="CH17" i="84"/>
  <c r="CH33" i="84" s="1"/>
  <c r="CI17" i="84"/>
  <c r="CI33" i="84" s="1"/>
  <c r="CJ17" i="84"/>
  <c r="CJ33" i="84" s="1"/>
  <c r="CK17" i="84"/>
  <c r="CK33" i="84" s="1"/>
  <c r="CL17" i="84"/>
  <c r="BQ17" i="84"/>
  <c r="BQ33" i="84" s="1"/>
  <c r="BR17" i="84"/>
  <c r="BR33" i="84" s="1"/>
  <c r="BS17" i="84"/>
  <c r="BS33" i="84" s="1"/>
  <c r="BT17" i="84"/>
  <c r="BT33" i="84" s="1"/>
  <c r="BU17" i="84"/>
  <c r="BU33" i="84" s="1"/>
  <c r="BV17" i="84"/>
  <c r="BA19" i="84"/>
  <c r="E42" i="84" s="1"/>
  <c r="AL19" i="84"/>
  <c r="G40" i="84" s="1"/>
  <c r="AD19" i="84"/>
  <c r="G39" i="84" s="1"/>
  <c r="BE21" i="84"/>
  <c r="BD21" i="84"/>
  <c r="BC21" i="84"/>
  <c r="BB21" i="84"/>
  <c r="BA21" i="84"/>
  <c r="BE20" i="84"/>
  <c r="N42" i="84" s="1"/>
  <c r="BD20" i="84"/>
  <c r="L42" i="84" s="1"/>
  <c r="BC20" i="84"/>
  <c r="J42" i="84" s="1"/>
  <c r="BB20" i="84"/>
  <c r="H42" i="84" s="1"/>
  <c r="BA20" i="84"/>
  <c r="F42" i="84" s="1"/>
  <c r="U8" i="6"/>
  <c r="U7" i="6"/>
  <c r="U6" i="6"/>
  <c r="U5" i="6"/>
  <c r="U4" i="6"/>
  <c r="U3" i="6"/>
  <c r="T8" i="6"/>
  <c r="T7" i="6"/>
  <c r="T6" i="6"/>
  <c r="T5" i="6"/>
  <c r="T4" i="6"/>
  <c r="T3" i="6"/>
  <c r="S8" i="6"/>
  <c r="S7" i="6"/>
  <c r="S6" i="6"/>
  <c r="S5" i="6"/>
  <c r="S4" i="6"/>
  <c r="S3" i="6"/>
  <c r="R8" i="6"/>
  <c r="R7" i="6"/>
  <c r="R6" i="6"/>
  <c r="R5" i="6"/>
  <c r="R4" i="6"/>
  <c r="R3" i="6"/>
  <c r="Q8" i="6"/>
  <c r="Q3" i="6"/>
  <c r="P8" i="6"/>
  <c r="P7" i="6"/>
  <c r="P6" i="6"/>
  <c r="P5" i="6"/>
  <c r="P4" i="6"/>
  <c r="P3" i="6"/>
  <c r="O8" i="6"/>
  <c r="O7" i="6"/>
  <c r="O6" i="6"/>
  <c r="O5" i="6"/>
  <c r="O4" i="6"/>
  <c r="O3" i="6"/>
  <c r="Q4" i="29"/>
  <c r="Q5" i="29"/>
  <c r="Q6" i="29"/>
  <c r="Q7" i="29"/>
  <c r="Q8" i="29"/>
  <c r="Q9" i="29"/>
  <c r="Q10" i="29"/>
  <c r="Q11" i="29"/>
  <c r="Q12" i="29"/>
  <c r="Q13" i="29"/>
  <c r="Q14" i="29"/>
  <c r="Q15" i="29"/>
  <c r="Q16" i="29"/>
  <c r="Q17" i="29"/>
  <c r="Q18" i="29"/>
  <c r="Q19" i="29"/>
  <c r="Q20" i="29"/>
  <c r="Q21" i="29"/>
  <c r="Q22" i="29"/>
  <c r="Q23" i="29"/>
  <c r="Q24" i="29"/>
  <c r="Q25" i="29"/>
  <c r="Q26" i="29"/>
  <c r="Q27" i="29"/>
  <c r="Q28" i="29"/>
  <c r="Q29" i="29"/>
  <c r="Q30" i="29"/>
  <c r="Q31" i="29"/>
  <c r="Q32" i="29"/>
  <c r="Q33" i="29"/>
  <c r="Q34" i="29"/>
  <c r="Q35" i="29"/>
  <c r="Q36" i="29"/>
  <c r="Q37" i="29"/>
  <c r="Q38" i="29"/>
  <c r="Q39" i="29"/>
  <c r="Q40" i="29"/>
  <c r="Q41" i="29"/>
  <c r="Q42" i="29"/>
  <c r="Q43" i="29"/>
  <c r="Q44" i="29"/>
  <c r="Q45" i="29"/>
  <c r="Q46" i="29"/>
  <c r="Q47" i="29"/>
  <c r="Q48" i="29"/>
  <c r="Q49" i="29"/>
  <c r="Q50" i="29"/>
  <c r="Q51" i="29"/>
  <c r="Q52" i="29"/>
  <c r="P4" i="29"/>
  <c r="P5" i="29"/>
  <c r="P6" i="29"/>
  <c r="P7" i="29"/>
  <c r="P8" i="29"/>
  <c r="P9" i="29"/>
  <c r="P10" i="29"/>
  <c r="P11" i="29"/>
  <c r="P12" i="29"/>
  <c r="P13" i="29"/>
  <c r="P14" i="29"/>
  <c r="P15" i="29"/>
  <c r="P16" i="29"/>
  <c r="P17" i="29"/>
  <c r="P18" i="29"/>
  <c r="P19" i="29"/>
  <c r="P20" i="29"/>
  <c r="P21" i="29"/>
  <c r="P22" i="29"/>
  <c r="P23" i="29"/>
  <c r="P24" i="29"/>
  <c r="P25" i="29"/>
  <c r="P26" i="29"/>
  <c r="P27" i="29"/>
  <c r="P28" i="29"/>
  <c r="P29" i="29"/>
  <c r="P30" i="29"/>
  <c r="P31" i="29"/>
  <c r="P32" i="29"/>
  <c r="P33" i="29"/>
  <c r="P34" i="29"/>
  <c r="P35" i="29"/>
  <c r="P36" i="29"/>
  <c r="P37" i="29"/>
  <c r="P38" i="29"/>
  <c r="P39" i="29"/>
  <c r="P40" i="29"/>
  <c r="P41" i="29"/>
  <c r="P42" i="29"/>
  <c r="P43" i="29"/>
  <c r="P44" i="29"/>
  <c r="P45" i="29"/>
  <c r="P46" i="29"/>
  <c r="P47" i="29"/>
  <c r="P48" i="29"/>
  <c r="P49" i="29"/>
  <c r="P50" i="29"/>
  <c r="P51" i="29"/>
  <c r="P52" i="29"/>
  <c r="O4" i="29"/>
  <c r="O5" i="29"/>
  <c r="O6" i="29"/>
  <c r="O7" i="29"/>
  <c r="O8" i="29"/>
  <c r="O9" i="29"/>
  <c r="O10" i="29"/>
  <c r="O11" i="29"/>
  <c r="O12" i="29"/>
  <c r="O13" i="29"/>
  <c r="O14" i="29"/>
  <c r="O15" i="29"/>
  <c r="O16" i="29"/>
  <c r="O17" i="29"/>
  <c r="O18" i="29"/>
  <c r="O19" i="29"/>
  <c r="O20" i="29"/>
  <c r="O21" i="29"/>
  <c r="O22" i="29"/>
  <c r="O23" i="29"/>
  <c r="O24" i="29"/>
  <c r="O25" i="29"/>
  <c r="O26" i="29"/>
  <c r="O27" i="29"/>
  <c r="O28" i="29"/>
  <c r="O29" i="29"/>
  <c r="O30" i="29"/>
  <c r="O31" i="29"/>
  <c r="O32" i="29"/>
  <c r="O33" i="29"/>
  <c r="O34" i="29"/>
  <c r="O35" i="29"/>
  <c r="O36" i="29"/>
  <c r="O37" i="29"/>
  <c r="O38" i="29"/>
  <c r="O39" i="29"/>
  <c r="O40" i="29"/>
  <c r="O41" i="29"/>
  <c r="O42" i="29"/>
  <c r="O43" i="29"/>
  <c r="O44" i="29"/>
  <c r="O45" i="29"/>
  <c r="O46" i="29"/>
  <c r="O47" i="29"/>
  <c r="O48" i="29"/>
  <c r="O49" i="29"/>
  <c r="O50" i="29"/>
  <c r="O51" i="29"/>
  <c r="O52" i="29"/>
  <c r="N4" i="29"/>
  <c r="N5" i="29"/>
  <c r="N6" i="29"/>
  <c r="N7" i="29"/>
  <c r="N8" i="29"/>
  <c r="N9" i="29"/>
  <c r="N10" i="29"/>
  <c r="N11" i="29"/>
  <c r="N12" i="29"/>
  <c r="N13" i="29"/>
  <c r="N14" i="29"/>
  <c r="N15" i="29"/>
  <c r="N16" i="29"/>
  <c r="N17" i="29"/>
  <c r="N18" i="29"/>
  <c r="N19" i="29"/>
  <c r="N20" i="29"/>
  <c r="N21" i="29"/>
  <c r="N22" i="29"/>
  <c r="N23" i="29"/>
  <c r="N24" i="29"/>
  <c r="N25" i="29"/>
  <c r="N26" i="29"/>
  <c r="N27" i="29"/>
  <c r="N28" i="29"/>
  <c r="N29" i="29"/>
  <c r="N30" i="29"/>
  <c r="N31" i="29"/>
  <c r="N32" i="29"/>
  <c r="N33" i="29"/>
  <c r="N34" i="29"/>
  <c r="N35" i="29"/>
  <c r="N36" i="29"/>
  <c r="N37" i="29"/>
  <c r="N38" i="29"/>
  <c r="N39" i="29"/>
  <c r="N40" i="29"/>
  <c r="N41" i="29"/>
  <c r="N42" i="29"/>
  <c r="N43" i="29"/>
  <c r="N44" i="29"/>
  <c r="N45" i="29"/>
  <c r="N46" i="29"/>
  <c r="N47" i="29"/>
  <c r="N48" i="29"/>
  <c r="N49" i="29"/>
  <c r="N50" i="29"/>
  <c r="N51" i="29"/>
  <c r="N52" i="29"/>
  <c r="M4"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L4" i="29"/>
  <c r="L5" i="29"/>
  <c r="L6" i="29"/>
  <c r="L7" i="29"/>
  <c r="L8" i="29"/>
  <c r="L9" i="29"/>
  <c r="L10" i="29"/>
  <c r="L11" i="29"/>
  <c r="L12" i="29"/>
  <c r="L13" i="29"/>
  <c r="L14" i="29"/>
  <c r="L15" i="29"/>
  <c r="L16" i="29"/>
  <c r="L17" i="29"/>
  <c r="L18" i="29"/>
  <c r="L19" i="29"/>
  <c r="L20" i="29"/>
  <c r="L21" i="29"/>
  <c r="L22" i="29"/>
  <c r="L23" i="29"/>
  <c r="L24" i="29"/>
  <c r="L25" i="29"/>
  <c r="L26" i="29"/>
  <c r="L27" i="29"/>
  <c r="L28" i="29"/>
  <c r="L29" i="29"/>
  <c r="L30" i="29"/>
  <c r="L31" i="29"/>
  <c r="L32" i="29"/>
  <c r="L33" i="29"/>
  <c r="L34" i="29"/>
  <c r="L35" i="29"/>
  <c r="L36" i="29"/>
  <c r="L37" i="29"/>
  <c r="L38" i="29"/>
  <c r="L39" i="29"/>
  <c r="L40" i="29"/>
  <c r="L41" i="29"/>
  <c r="L42" i="29"/>
  <c r="L43" i="29"/>
  <c r="L44" i="29"/>
  <c r="L45" i="29"/>
  <c r="L46" i="29"/>
  <c r="L47" i="29"/>
  <c r="L48" i="29"/>
  <c r="L49" i="29"/>
  <c r="L50" i="29"/>
  <c r="L51" i="29"/>
  <c r="L52" i="29"/>
  <c r="Q3" i="29"/>
  <c r="P3" i="29"/>
  <c r="O3" i="29"/>
  <c r="N3" i="29"/>
  <c r="M3" i="29"/>
  <c r="L3" i="29"/>
  <c r="K4" i="29"/>
  <c r="K5" i="29"/>
  <c r="K6" i="29"/>
  <c r="K7" i="29"/>
  <c r="K8" i="29"/>
  <c r="K9" i="29"/>
  <c r="K10" i="29"/>
  <c r="K11" i="29"/>
  <c r="K12" i="29"/>
  <c r="K13" i="29"/>
  <c r="K14" i="29"/>
  <c r="K15" i="29"/>
  <c r="K16" i="29"/>
  <c r="K17" i="29"/>
  <c r="K18" i="29"/>
  <c r="K19" i="29"/>
  <c r="K20" i="29"/>
  <c r="K21" i="29"/>
  <c r="K22" i="29"/>
  <c r="K23" i="29"/>
  <c r="K24" i="29"/>
  <c r="K25" i="29"/>
  <c r="K26" i="29"/>
  <c r="K27" i="29"/>
  <c r="K28" i="29"/>
  <c r="K29" i="29"/>
  <c r="K30" i="29"/>
  <c r="K31" i="29"/>
  <c r="K32" i="29"/>
  <c r="K33" i="29"/>
  <c r="K34" i="29"/>
  <c r="K35" i="29"/>
  <c r="K36" i="29"/>
  <c r="K37" i="29"/>
  <c r="K38" i="29"/>
  <c r="K39" i="29"/>
  <c r="K40" i="29"/>
  <c r="K41" i="29"/>
  <c r="K42" i="29"/>
  <c r="K43" i="29"/>
  <c r="K44" i="29"/>
  <c r="K45" i="29"/>
  <c r="K46" i="29"/>
  <c r="K47" i="29"/>
  <c r="K48" i="29"/>
  <c r="K49" i="29"/>
  <c r="K50" i="29"/>
  <c r="K51" i="29"/>
  <c r="K52" i="29"/>
  <c r="K3" i="29"/>
  <c r="J4" i="29"/>
  <c r="J5" i="29"/>
  <c r="J6" i="29"/>
  <c r="J7" i="29"/>
  <c r="J8" i="29"/>
  <c r="J9" i="29"/>
  <c r="J10" i="29"/>
  <c r="J11" i="29"/>
  <c r="J12" i="29"/>
  <c r="J13" i="29"/>
  <c r="J14" i="29"/>
  <c r="J15" i="29"/>
  <c r="J16" i="29"/>
  <c r="J17" i="29"/>
  <c r="J18" i="29"/>
  <c r="J19" i="29"/>
  <c r="J20" i="29"/>
  <c r="J21" i="29"/>
  <c r="J22" i="29"/>
  <c r="J23" i="29"/>
  <c r="J24" i="29"/>
  <c r="J25" i="29"/>
  <c r="J26" i="29"/>
  <c r="J27" i="29"/>
  <c r="J28" i="29"/>
  <c r="J29" i="29"/>
  <c r="J30" i="29"/>
  <c r="J31" i="29"/>
  <c r="J32" i="29"/>
  <c r="J33" i="29"/>
  <c r="J34" i="29"/>
  <c r="J35" i="29"/>
  <c r="J36" i="29"/>
  <c r="J37" i="29"/>
  <c r="J38" i="29"/>
  <c r="J39" i="29"/>
  <c r="J40" i="29"/>
  <c r="J41" i="29"/>
  <c r="J42" i="29"/>
  <c r="J43" i="29"/>
  <c r="J44" i="29"/>
  <c r="J45" i="29"/>
  <c r="J46" i="29"/>
  <c r="J47" i="29"/>
  <c r="J48" i="29"/>
  <c r="J49" i="29"/>
  <c r="J50" i="29"/>
  <c r="J51" i="29"/>
  <c r="J52" i="29"/>
  <c r="J3" i="29"/>
  <c r="BL11" i="73"/>
  <c r="BG11" i="73"/>
  <c r="BB11" i="73"/>
  <c r="AR11" i="73"/>
  <c r="U10" i="6"/>
  <c r="T10" i="6"/>
  <c r="S10" i="6"/>
  <c r="R10" i="6"/>
  <c r="P10" i="6"/>
  <c r="O10" i="6"/>
  <c r="P2" i="29"/>
  <c r="O2" i="29"/>
  <c r="N2" i="29"/>
  <c r="M2" i="29"/>
  <c r="L2" i="29"/>
  <c r="K2" i="29"/>
  <c r="J2" i="29"/>
  <c r="AM11" i="73"/>
  <c r="AH11" i="73"/>
  <c r="AZ1" i="84" s="1"/>
  <c r="F9" i="84" s="1"/>
  <c r="N10" i="6"/>
  <c r="M10" i="6"/>
  <c r="D11" i="73"/>
  <c r="U20" i="84"/>
  <c r="F38" i="84" s="1"/>
  <c r="V20" i="84"/>
  <c r="W20" i="84"/>
  <c r="J38" i="84" s="1"/>
  <c r="X20" i="84"/>
  <c r="L38" i="84" s="1"/>
  <c r="Y20" i="84"/>
  <c r="U21" i="84"/>
  <c r="V21" i="84"/>
  <c r="W21" i="84"/>
  <c r="X21" i="84"/>
  <c r="Y21" i="84"/>
  <c r="I2" i="29"/>
  <c r="H2" i="29"/>
  <c r="E2" i="29"/>
  <c r="D2" i="29"/>
  <c r="I52" i="29"/>
  <c r="I51" i="29"/>
  <c r="I50" i="29"/>
  <c r="I49" i="29"/>
  <c r="I48" i="29"/>
  <c r="I47" i="29"/>
  <c r="I46" i="29"/>
  <c r="I45" i="29"/>
  <c r="I44" i="29"/>
  <c r="I43" i="29"/>
  <c r="I42" i="29"/>
  <c r="I41" i="29"/>
  <c r="I40" i="29"/>
  <c r="I39" i="29"/>
  <c r="I38" i="29"/>
  <c r="I37" i="29"/>
  <c r="I36" i="29"/>
  <c r="I35" i="29"/>
  <c r="I34" i="29"/>
  <c r="I33" i="29"/>
  <c r="I32" i="29"/>
  <c r="I31" i="29"/>
  <c r="I30" i="29"/>
  <c r="I29" i="29"/>
  <c r="I28" i="29"/>
  <c r="I27" i="29"/>
  <c r="I26" i="29"/>
  <c r="I25" i="29"/>
  <c r="I24" i="29"/>
  <c r="I23" i="29"/>
  <c r="I22" i="29"/>
  <c r="I21" i="29"/>
  <c r="I20" i="29"/>
  <c r="I19" i="29"/>
  <c r="I18" i="29"/>
  <c r="I17" i="29"/>
  <c r="I16" i="29"/>
  <c r="I15" i="29"/>
  <c r="I14" i="29"/>
  <c r="I13" i="29"/>
  <c r="I12" i="29"/>
  <c r="I11" i="29"/>
  <c r="I10" i="29"/>
  <c r="I9" i="29"/>
  <c r="I8" i="29"/>
  <c r="I7" i="29"/>
  <c r="I6" i="29"/>
  <c r="I5" i="29"/>
  <c r="I4" i="29"/>
  <c r="H52" i="29"/>
  <c r="H51" i="29"/>
  <c r="H50" i="29"/>
  <c r="H49" i="29"/>
  <c r="H48" i="29"/>
  <c r="H47" i="29"/>
  <c r="H46" i="29"/>
  <c r="H45" i="29"/>
  <c r="H44" i="29"/>
  <c r="H43" i="29"/>
  <c r="H42" i="29"/>
  <c r="H41" i="29"/>
  <c r="H40" i="29"/>
  <c r="H39" i="29"/>
  <c r="H38" i="29"/>
  <c r="H37" i="29"/>
  <c r="H36" i="29"/>
  <c r="H35" i="29"/>
  <c r="H34" i="29"/>
  <c r="H33" i="29"/>
  <c r="H32" i="29"/>
  <c r="H31" i="29"/>
  <c r="H30" i="29"/>
  <c r="H29" i="29"/>
  <c r="H28" i="29"/>
  <c r="H27" i="29"/>
  <c r="H26" i="29"/>
  <c r="H25" i="29"/>
  <c r="H24" i="29"/>
  <c r="H23" i="29"/>
  <c r="H22" i="29"/>
  <c r="H21" i="29"/>
  <c r="H20" i="29"/>
  <c r="H19" i="29"/>
  <c r="H18" i="29"/>
  <c r="H17" i="29"/>
  <c r="H16" i="29"/>
  <c r="H15" i="29"/>
  <c r="H14" i="29"/>
  <c r="H13" i="29"/>
  <c r="H12" i="29"/>
  <c r="H11" i="29"/>
  <c r="H10" i="29"/>
  <c r="H9" i="29"/>
  <c r="H8" i="29"/>
  <c r="H7" i="29"/>
  <c r="H6" i="29"/>
  <c r="H5" i="29"/>
  <c r="H4" i="29"/>
  <c r="E52" i="29"/>
  <c r="E51" i="29"/>
  <c r="E50" i="29"/>
  <c r="E49" i="29"/>
  <c r="E48" i="29"/>
  <c r="E47" i="29"/>
  <c r="E46" i="29"/>
  <c r="E45" i="29"/>
  <c r="E44" i="29"/>
  <c r="E43" i="29"/>
  <c r="E42" i="29"/>
  <c r="E41" i="29"/>
  <c r="E40" i="29"/>
  <c r="E39" i="29"/>
  <c r="E38" i="29"/>
  <c r="E37" i="29"/>
  <c r="E36" i="29"/>
  <c r="E35" i="29"/>
  <c r="E34" i="29"/>
  <c r="E33" i="29"/>
  <c r="E32" i="29"/>
  <c r="E31" i="29"/>
  <c r="E30" i="29"/>
  <c r="E29" i="29"/>
  <c r="E28" i="29"/>
  <c r="E27" i="29"/>
  <c r="E26" i="29"/>
  <c r="E25" i="29"/>
  <c r="E24" i="29"/>
  <c r="E23" i="29"/>
  <c r="E22" i="29"/>
  <c r="E21" i="29"/>
  <c r="E20" i="29"/>
  <c r="E19" i="29"/>
  <c r="E18" i="29"/>
  <c r="E17" i="29"/>
  <c r="E16" i="29"/>
  <c r="E15" i="29"/>
  <c r="E14" i="29"/>
  <c r="E13" i="29"/>
  <c r="E12" i="29"/>
  <c r="E11" i="29"/>
  <c r="E10" i="29"/>
  <c r="E9" i="29"/>
  <c r="E8" i="29"/>
  <c r="E7" i="29"/>
  <c r="E6" i="29"/>
  <c r="E5" i="29"/>
  <c r="E4" i="29"/>
  <c r="I3" i="29"/>
  <c r="H3" i="29"/>
  <c r="E3" i="29"/>
  <c r="D52" i="29"/>
  <c r="D51" i="29"/>
  <c r="D50" i="29"/>
  <c r="D49" i="29"/>
  <c r="D48" i="29"/>
  <c r="D47" i="29"/>
  <c r="D46" i="29"/>
  <c r="D45" i="29"/>
  <c r="D44" i="29"/>
  <c r="D43" i="29"/>
  <c r="D42" i="29"/>
  <c r="D41" i="29"/>
  <c r="D40" i="29"/>
  <c r="D39" i="29"/>
  <c r="D38" i="29"/>
  <c r="D37" i="29"/>
  <c r="D36" i="29"/>
  <c r="D35" i="29"/>
  <c r="D34" i="29"/>
  <c r="D33" i="29"/>
  <c r="D32" i="29"/>
  <c r="D31" i="29"/>
  <c r="D30" i="29"/>
  <c r="D29" i="29"/>
  <c r="D28" i="29"/>
  <c r="D27" i="29"/>
  <c r="D26" i="29"/>
  <c r="D25" i="29"/>
  <c r="D24" i="29"/>
  <c r="D23" i="29"/>
  <c r="D22" i="29"/>
  <c r="D21" i="29"/>
  <c r="D20" i="29"/>
  <c r="D19" i="29"/>
  <c r="D18" i="29"/>
  <c r="D17" i="29"/>
  <c r="D16" i="29"/>
  <c r="D15" i="29"/>
  <c r="D14" i="29"/>
  <c r="D13" i="29"/>
  <c r="D12" i="29"/>
  <c r="D11" i="29"/>
  <c r="D10" i="29"/>
  <c r="D9" i="29"/>
  <c r="D8" i="29"/>
  <c r="D7" i="29"/>
  <c r="D6" i="29"/>
  <c r="D5" i="29"/>
  <c r="D4" i="29"/>
  <c r="D3" i="29"/>
  <c r="AC11" i="73"/>
  <c r="X11" i="73"/>
  <c r="I11" i="73"/>
  <c r="T1" i="84"/>
  <c r="F5" i="84" s="1"/>
  <c r="L10" i="6"/>
  <c r="I10" i="6"/>
  <c r="H10" i="6"/>
  <c r="M3" i="6"/>
  <c r="N3" i="6"/>
  <c r="M4" i="6"/>
  <c r="N4" i="6"/>
  <c r="M5" i="6"/>
  <c r="N5" i="6"/>
  <c r="M6" i="6"/>
  <c r="N6" i="6"/>
  <c r="M7" i="6"/>
  <c r="N7" i="6"/>
  <c r="M8" i="6"/>
  <c r="N8" i="6"/>
  <c r="I8" i="6"/>
  <c r="L8" i="6"/>
  <c r="I7" i="6"/>
  <c r="L7" i="6"/>
  <c r="I6" i="6"/>
  <c r="L6" i="6"/>
  <c r="I5" i="6"/>
  <c r="L5" i="6"/>
  <c r="H8" i="6"/>
  <c r="H7" i="6"/>
  <c r="H6" i="6"/>
  <c r="H5" i="6"/>
  <c r="H4" i="6"/>
  <c r="L4" i="6"/>
  <c r="I4" i="6"/>
  <c r="I3" i="6"/>
  <c r="L3" i="6"/>
  <c r="H3" i="6"/>
  <c r="D8" i="69"/>
  <c r="D9" i="69"/>
  <c r="D10" i="69"/>
  <c r="D11" i="69"/>
  <c r="D12" i="69"/>
  <c r="D13" i="69"/>
  <c r="D14" i="69"/>
  <c r="D15" i="69"/>
  <c r="D16" i="69"/>
  <c r="D17" i="69"/>
  <c r="D18" i="69"/>
  <c r="D19" i="69"/>
  <c r="D20" i="69"/>
  <c r="D21" i="69"/>
  <c r="D22" i="69"/>
  <c r="D23" i="69"/>
  <c r="D24" i="69"/>
  <c r="D25" i="69"/>
  <c r="D26" i="69"/>
  <c r="D27" i="69"/>
  <c r="D28" i="69"/>
  <c r="D29" i="69"/>
  <c r="D30" i="69"/>
  <c r="D31" i="69"/>
  <c r="D32" i="69"/>
  <c r="D33" i="69"/>
  <c r="D34" i="69"/>
  <c r="D35" i="69"/>
  <c r="D36" i="69"/>
  <c r="D37" i="69"/>
  <c r="D38" i="69"/>
  <c r="D39" i="69"/>
  <c r="D40" i="69"/>
  <c r="D41" i="69"/>
  <c r="D42" i="69"/>
  <c r="D43" i="69"/>
  <c r="D44" i="69"/>
  <c r="D45" i="69"/>
  <c r="D46" i="69"/>
  <c r="D47" i="69"/>
  <c r="D48" i="69"/>
  <c r="D49" i="69"/>
  <c r="D50" i="69"/>
  <c r="D51" i="69"/>
  <c r="D52" i="69"/>
  <c r="D53" i="69"/>
  <c r="D54" i="69"/>
  <c r="D55" i="69"/>
  <c r="D56" i="69"/>
  <c r="D7" i="69"/>
  <c r="AW21" i="84"/>
  <c r="AV21" i="84"/>
  <c r="AU21" i="84"/>
  <c r="AT21" i="84"/>
  <c r="AS21" i="84"/>
  <c r="AO21" i="84"/>
  <c r="AN21" i="84"/>
  <c r="AM21" i="84"/>
  <c r="AL21" i="84"/>
  <c r="AK21" i="84"/>
  <c r="AG21" i="84"/>
  <c r="AF21" i="84"/>
  <c r="AE21" i="84"/>
  <c r="AD21" i="84"/>
  <c r="AC21" i="84"/>
  <c r="AW20" i="84"/>
  <c r="N41" i="84" s="1"/>
  <c r="AV20" i="84"/>
  <c r="L41" i="84" s="1"/>
  <c r="AU20" i="84"/>
  <c r="J41" i="84" s="1"/>
  <c r="AT20" i="84"/>
  <c r="H41" i="84" s="1"/>
  <c r="AS20" i="84"/>
  <c r="F41" i="84" s="1"/>
  <c r="AO20" i="84"/>
  <c r="AN20" i="84"/>
  <c r="L40" i="84" s="1"/>
  <c r="AM20" i="84"/>
  <c r="J40" i="84" s="1"/>
  <c r="AL20" i="84"/>
  <c r="H40" i="84" s="1"/>
  <c r="AK20" i="84"/>
  <c r="F40" i="84" s="1"/>
  <c r="AG20" i="84"/>
  <c r="AF20" i="84"/>
  <c r="L39" i="84" s="1"/>
  <c r="AE20" i="84"/>
  <c r="J39" i="84" s="1"/>
  <c r="AD20" i="84"/>
  <c r="AC20" i="84"/>
  <c r="F39" i="84" s="1"/>
  <c r="P48" i="84" l="1"/>
  <c r="A34" i="88"/>
  <c r="A33" i="88"/>
  <c r="A32" i="88"/>
  <c r="A31" i="88"/>
  <c r="A30" i="88"/>
  <c r="A42" i="88"/>
  <c r="A41" i="88"/>
  <c r="A40" i="88"/>
  <c r="A39" i="88"/>
  <c r="A38" i="88"/>
  <c r="AR1" i="84"/>
  <c r="B41" i="84" s="1"/>
  <c r="A50" i="88"/>
  <c r="A49" i="88"/>
  <c r="A48" i="88"/>
  <c r="A47" i="88"/>
  <c r="A46" i="88"/>
  <c r="A26" i="88"/>
  <c r="A25" i="88"/>
  <c r="A24" i="88"/>
  <c r="A23" i="88"/>
  <c r="A22" i="88"/>
  <c r="A58" i="88"/>
  <c r="A57" i="88"/>
  <c r="A56" i="88"/>
  <c r="A55" i="88"/>
  <c r="A54" i="88"/>
  <c r="A66" i="88"/>
  <c r="A65" i="88"/>
  <c r="A64" i="88"/>
  <c r="A63" i="88"/>
  <c r="A62" i="88"/>
  <c r="BH1" i="84"/>
  <c r="A74" i="88"/>
  <c r="A73" i="88"/>
  <c r="A72" i="88"/>
  <c r="A71" i="88"/>
  <c r="A70" i="88"/>
  <c r="BP1" i="84"/>
  <c r="A90" i="88"/>
  <c r="A89" i="88"/>
  <c r="A88" i="88"/>
  <c r="A87" i="88"/>
  <c r="A86" i="88"/>
  <c r="CF1" i="84"/>
  <c r="A98" i="88"/>
  <c r="A97" i="88"/>
  <c r="A96" i="88"/>
  <c r="A95" i="88"/>
  <c r="A94" i="88"/>
  <c r="CN1" i="84"/>
  <c r="A106" i="88"/>
  <c r="A105" i="88"/>
  <c r="A104" i="88"/>
  <c r="A103" i="88"/>
  <c r="A102" i="88"/>
  <c r="CV1" i="84"/>
  <c r="A114" i="88"/>
  <c r="A113" i="88"/>
  <c r="A112" i="88"/>
  <c r="A111" i="88"/>
  <c r="A110" i="88"/>
  <c r="DD1" i="84"/>
  <c r="F12" i="84"/>
  <c r="B45" i="84"/>
  <c r="AF19" i="84"/>
  <c r="K39" i="84" s="1"/>
  <c r="CW19" i="84"/>
  <c r="E48" i="84" s="1"/>
  <c r="AE19" i="84"/>
  <c r="I39" i="84" s="1"/>
  <c r="Y19" i="84"/>
  <c r="M38" i="84" s="1"/>
  <c r="CH19" i="84"/>
  <c r="G46" i="84" s="1"/>
  <c r="P46" i="84"/>
  <c r="DE19" i="84"/>
  <c r="E49" i="84" s="1"/>
  <c r="CR19" i="84"/>
  <c r="K47" i="84" s="1"/>
  <c r="CK19" i="84"/>
  <c r="M46" i="84" s="1"/>
  <c r="BE19" i="84"/>
  <c r="M42" i="84" s="1"/>
  <c r="AS19" i="84"/>
  <c r="CX19" i="84"/>
  <c r="G48" i="84" s="1"/>
  <c r="CP19" i="84"/>
  <c r="G47" i="84" s="1"/>
  <c r="CB19" i="84"/>
  <c r="K45" i="84" s="1"/>
  <c r="P49" i="84"/>
  <c r="BZ19" i="84"/>
  <c r="G45" i="84" s="1"/>
  <c r="W19" i="84"/>
  <c r="I38" i="84" s="1"/>
  <c r="DH19" i="84"/>
  <c r="K49" i="84" s="1"/>
  <c r="CZ19" i="84"/>
  <c r="K48" i="84" s="1"/>
  <c r="BY19" i="84"/>
  <c r="E45" i="84" s="1"/>
  <c r="BS19" i="84"/>
  <c r="I44" i="84" s="1"/>
  <c r="BM19" i="84"/>
  <c r="M43" i="84" s="1"/>
  <c r="AO19" i="84"/>
  <c r="M40" i="84" s="1"/>
  <c r="AC19" i="84"/>
  <c r="V19" i="84"/>
  <c r="G38" i="84" s="1"/>
  <c r="CQ19" i="84"/>
  <c r="I47" i="84" s="1"/>
  <c r="CJ19" i="84"/>
  <c r="K46" i="84" s="1"/>
  <c r="BC19" i="84"/>
  <c r="I42" i="84" s="1"/>
  <c r="O42" i="84" s="1"/>
  <c r="AK19" i="84"/>
  <c r="E40" i="84" s="1"/>
  <c r="BB19" i="84"/>
  <c r="G42" i="84" s="1"/>
  <c r="CI19" i="84"/>
  <c r="I46" i="84" s="1"/>
  <c r="BU19" i="84"/>
  <c r="M44" i="84" s="1"/>
  <c r="AV19" i="84"/>
  <c r="K41" i="84" s="1"/>
  <c r="DI19" i="84"/>
  <c r="M49" i="84" s="1"/>
  <c r="CG19" i="84"/>
  <c r="E46" i="84" s="1"/>
  <c r="P44" i="84"/>
  <c r="DG19" i="84"/>
  <c r="I49" i="84" s="1"/>
  <c r="CS19" i="84"/>
  <c r="M47" i="84" s="1"/>
  <c r="BR19" i="84"/>
  <c r="G44" i="84" s="1"/>
  <c r="BL19" i="84"/>
  <c r="K43" i="84" s="1"/>
  <c r="AN19" i="84"/>
  <c r="K40" i="84" s="1"/>
  <c r="U19" i="84"/>
  <c r="BD19" i="84"/>
  <c r="K42" i="84" s="1"/>
  <c r="CC19" i="84"/>
  <c r="M45" i="84" s="1"/>
  <c r="CO19" i="84"/>
  <c r="E47" i="84" s="1"/>
  <c r="BI19" i="84"/>
  <c r="E43" i="84" s="1"/>
  <c r="AW19" i="84"/>
  <c r="M41" i="84" s="1"/>
  <c r="CA19" i="84"/>
  <c r="I45" i="84" s="1"/>
  <c r="X19" i="84"/>
  <c r="K38" i="84" s="1"/>
  <c r="K50" i="84" s="1"/>
  <c r="DA19" i="84"/>
  <c r="M48" i="84" s="1"/>
  <c r="BT19" i="84"/>
  <c r="K44" i="84" s="1"/>
  <c r="AU19" i="84"/>
  <c r="I41" i="84" s="1"/>
  <c r="DF19" i="84"/>
  <c r="G49" i="84" s="1"/>
  <c r="CY19" i="84"/>
  <c r="I48" i="84" s="1"/>
  <c r="BK19" i="84"/>
  <c r="I43" i="84" s="1"/>
  <c r="AM19" i="84"/>
  <c r="I40" i="84" s="1"/>
  <c r="O40" i="84" s="1"/>
  <c r="AG19" i="84"/>
  <c r="M39" i="84" s="1"/>
  <c r="BQ19" i="84"/>
  <c r="E44" i="84" s="1"/>
  <c r="Q5" i="6"/>
  <c r="DA33" i="84"/>
  <c r="G13" i="84"/>
  <c r="H24" i="84"/>
  <c r="G7" i="84"/>
  <c r="CY33" i="84"/>
  <c r="J23" i="84"/>
  <c r="CW33" i="84"/>
  <c r="J10" i="84"/>
  <c r="H12" i="84"/>
  <c r="J12" i="84"/>
  <c r="H13" i="84"/>
  <c r="H11" i="84"/>
  <c r="J13" i="84"/>
  <c r="K10" i="84"/>
  <c r="I12" i="84"/>
  <c r="G11" i="84"/>
  <c r="G12" i="84"/>
  <c r="K12" i="84"/>
  <c r="BV20" i="84"/>
  <c r="BU25" i="84" s="1"/>
  <c r="CL21" i="84"/>
  <c r="G14" i="84"/>
  <c r="I13" i="84"/>
  <c r="CX33" i="84"/>
  <c r="DJ20" i="84"/>
  <c r="DI25" i="84" s="1"/>
  <c r="G16" i="84"/>
  <c r="K13" i="84"/>
  <c r="K11" i="84"/>
  <c r="H14" i="84"/>
  <c r="J11" i="84"/>
  <c r="I14" i="84"/>
  <c r="I11" i="84"/>
  <c r="J14" i="84"/>
  <c r="H23" i="84"/>
  <c r="K14" i="84"/>
  <c r="AX21" i="84"/>
  <c r="H16" i="84"/>
  <c r="H38" i="84"/>
  <c r="BV21" i="84"/>
  <c r="G10" i="84"/>
  <c r="J15" i="84"/>
  <c r="I16" i="84"/>
  <c r="H10" i="84"/>
  <c r="J16" i="84"/>
  <c r="I10" i="84"/>
  <c r="K16" i="84"/>
  <c r="AP21" i="84"/>
  <c r="AM33" i="84"/>
  <c r="AN33" i="84"/>
  <c r="CT20" i="84"/>
  <c r="CS25" i="84" s="1"/>
  <c r="K23" i="84"/>
  <c r="BN19" i="84"/>
  <c r="BJ25" i="84" s="1"/>
  <c r="DB20" i="84"/>
  <c r="DA25" i="84" s="1"/>
  <c r="I23" i="84"/>
  <c r="CD21" i="84"/>
  <c r="K24" i="84"/>
  <c r="N38" i="84"/>
  <c r="Z21" i="84"/>
  <c r="H8" i="84"/>
  <c r="E38" i="84"/>
  <c r="AH21" i="84"/>
  <c r="BF21" i="84"/>
  <c r="DB21" i="84"/>
  <c r="I24" i="84"/>
  <c r="J24" i="84"/>
  <c r="B38" i="84"/>
  <c r="AH19" i="84"/>
  <c r="AD25" i="84" s="1"/>
  <c r="G23" i="84"/>
  <c r="BV19" i="84"/>
  <c r="BR25" i="84" s="1"/>
  <c r="AX19" i="84"/>
  <c r="AT25" i="84" s="1"/>
  <c r="G24" i="84"/>
  <c r="AE33" i="84"/>
  <c r="DJ21" i="84"/>
  <c r="CT21" i="84"/>
  <c r="CL20" i="84"/>
  <c r="CK25" i="84" s="1"/>
  <c r="CD20" i="84"/>
  <c r="CC25" i="84" s="1"/>
  <c r="BN21" i="84"/>
  <c r="BN20" i="84"/>
  <c r="BM25" i="84" s="1"/>
  <c r="BE33" i="84"/>
  <c r="AS33" i="84"/>
  <c r="H7" i="84"/>
  <c r="BB33" i="84"/>
  <c r="BA33" i="84"/>
  <c r="AD33" i="84"/>
  <c r="G5" i="84"/>
  <c r="K6" i="84"/>
  <c r="BC33" i="84"/>
  <c r="V33" i="84"/>
  <c r="J6" i="84"/>
  <c r="AO33" i="84"/>
  <c r="L50" i="84"/>
  <c r="AV33" i="84"/>
  <c r="I5" i="84"/>
  <c r="BD33" i="84"/>
  <c r="Y33" i="84"/>
  <c r="AP20" i="84"/>
  <c r="AO25" i="84" s="1"/>
  <c r="AX20" i="84"/>
  <c r="AW25" i="84" s="1"/>
  <c r="F50" i="84"/>
  <c r="P41" i="84"/>
  <c r="P42" i="84"/>
  <c r="BF20" i="84"/>
  <c r="BE25" i="84" s="1"/>
  <c r="H39" i="84"/>
  <c r="N40" i="84"/>
  <c r="P40" i="84" s="1"/>
  <c r="AH20" i="84"/>
  <c r="AG25" i="84" s="1"/>
  <c r="Z20" i="84"/>
  <c r="Y25" i="84" s="1"/>
  <c r="AU33" i="84"/>
  <c r="AW33" i="84"/>
  <c r="X33" i="84"/>
  <c r="B42" i="84"/>
  <c r="G6" i="84"/>
  <c r="N39" i="84"/>
  <c r="J50" i="84"/>
  <c r="E41" i="84"/>
  <c r="O41" i="84" s="1"/>
  <c r="M50" i="84"/>
  <c r="E39" i="84"/>
  <c r="O39" i="84" s="1"/>
  <c r="AJ1" i="84"/>
  <c r="B40" i="84" s="1"/>
  <c r="AB1" i="84"/>
  <c r="B39" i="84" s="1"/>
  <c r="G50" i="84" l="1"/>
  <c r="F8" i="84"/>
  <c r="F16" i="84"/>
  <c r="B49" i="84"/>
  <c r="F15" i="84"/>
  <c r="B48" i="84"/>
  <c r="F14" i="84"/>
  <c r="B47" i="84"/>
  <c r="F13" i="84"/>
  <c r="B46" i="84"/>
  <c r="F11" i="84"/>
  <c r="B44" i="84"/>
  <c r="F10" i="84"/>
  <c r="B43" i="84"/>
  <c r="K22" i="84"/>
  <c r="O47" i="84"/>
  <c r="CL19" i="84"/>
  <c r="CH25" i="84" s="1"/>
  <c r="J22" i="84"/>
  <c r="O46" i="84"/>
  <c r="BF19" i="84"/>
  <c r="BB25" i="84" s="1"/>
  <c r="P38" i="84"/>
  <c r="DB19" i="84"/>
  <c r="CX25" i="84" s="1"/>
  <c r="O45" i="84"/>
  <c r="O49" i="84"/>
  <c r="O44" i="84"/>
  <c r="L11" i="84" s="1"/>
  <c r="O48" i="84"/>
  <c r="I22" i="84"/>
  <c r="AP19" i="84"/>
  <c r="AL25" i="84" s="1"/>
  <c r="CD19" i="84"/>
  <c r="BZ25" i="84" s="1"/>
  <c r="DJ19" i="84"/>
  <c r="DF25" i="84" s="1"/>
  <c r="H22" i="84"/>
  <c r="CT19" i="84"/>
  <c r="CP25" i="84" s="1"/>
  <c r="Z19" i="84"/>
  <c r="V25" i="84" s="1"/>
  <c r="G22" i="84"/>
  <c r="O43" i="84"/>
  <c r="N50" i="84"/>
  <c r="M51" i="84" s="1"/>
  <c r="Q42" i="84"/>
  <c r="F7" i="84"/>
  <c r="K51" i="84"/>
  <c r="H50" i="84"/>
  <c r="G51" i="84" s="1"/>
  <c r="I50" i="84"/>
  <c r="I51" i="84" s="1"/>
  <c r="L23" i="84"/>
  <c r="I18" i="84" s="1"/>
  <c r="L22" i="84"/>
  <c r="F18" i="84" s="1"/>
  <c r="P39" i="84"/>
  <c r="Q39" i="84" s="1"/>
  <c r="L24" i="84"/>
  <c r="M18" i="84" s="1"/>
  <c r="L9" i="84"/>
  <c r="E50" i="84"/>
  <c r="E51" i="84" s="1"/>
  <c r="L8" i="84"/>
  <c r="Q41" i="84"/>
  <c r="Q40" i="84"/>
  <c r="L7" i="84"/>
  <c r="L6" i="84"/>
  <c r="O38" i="84"/>
  <c r="F6" i="84"/>
  <c r="L10" i="84" l="1"/>
  <c r="Q43" i="84"/>
  <c r="L15" i="84"/>
  <c r="Q48" i="84"/>
  <c r="L16" i="84"/>
  <c r="Q49" i="84"/>
  <c r="Q47" i="84"/>
  <c r="L14" i="84"/>
  <c r="L13" i="84"/>
  <c r="Q46" i="84"/>
  <c r="L12" i="84"/>
  <c r="Q45" i="84"/>
  <c r="Q44" i="84"/>
  <c r="P50" i="84"/>
  <c r="O50" i="84"/>
  <c r="L5" i="84"/>
  <c r="Q38" i="84"/>
  <c r="M5" i="84" l="1"/>
  <c r="Q50" i="8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<sst xmlns="http://schemas.openxmlformats.org/spreadsheetml/2006/main" count="5311" uniqueCount="421">
  <si>
    <t>Context</t>
  </si>
  <si>
    <t>Every service has their own definition and criteria of implementing service observability. We don't have a defined set of metrics to monitor, and top of that there is no uniform and consistent approach to measure service maturity.</t>
  </si>
  <si>
    <t>Approach</t>
  </si>
  <si>
    <t>Identify the key set of metrics which should be used as a baseline to measure the maturity level of any service. The approach is to first understand if service teams are monitoring the right set of data points, and based on that we will double click on each metric to define / educate how to do it. We have put those “key metrics” in a well-defined template. The plan is to start with People Fabric services, and gradually extend it to Flex platform, and eventually to other teams.
We follow a "layered" approach and categorized the metrics accordingly. We have six layers, wherein "Layer 0" is the most critical metrics to monitor. The objective of the layered approach is to drive the priority of the metrics. If you have gaps in "Layer 0" it may lead to issues no matter if you have everything captured in "Layer 1" and so on. Here are the six layers - 
Layer 0 = Accessibility and Synthetic Monitoring
Layer 1 = Infrastructure (Host, OS, Container, Network)
Layer 2 = Application Container Health
Layer 3 = Application-Specific Metrics
Layer 4 = Business Value and User Impact
Layer 5 = Observability Outcomes</t>
  </si>
  <si>
    <t>Layer</t>
  </si>
  <si>
    <t>Layer Category</t>
  </si>
  <si>
    <t>Metric</t>
  </si>
  <si>
    <t>Metric Definition</t>
  </si>
  <si>
    <t>Layer 0</t>
  </si>
  <si>
    <t>Accessibility and Synthetic Monitoring</t>
  </si>
  <si>
    <t>Load Balancer Health Checks</t>
  </si>
  <si>
    <t>Service monitors the health checks metrics for Load Balancer.</t>
  </si>
  <si>
    <t>Gateway Timeout (HTTP 504) Errors</t>
  </si>
  <si>
    <t>Service monitors the Gateway timeout errors.</t>
  </si>
  <si>
    <r>
      <rPr>
        <b/>
        <sz val="12"/>
        <color rgb="FF000000"/>
        <rFont val="Calibri"/>
        <family val="2"/>
        <scheme val="minor"/>
      </rPr>
      <t>Synthetic</t>
    </r>
    <r>
      <rPr>
        <sz val="12"/>
        <color rgb="FF000000"/>
        <rFont val="Calibri"/>
        <family val="2"/>
        <scheme val="minor"/>
      </rPr>
      <t>: Service Availability</t>
    </r>
  </si>
  <si>
    <t>Service has synthetic monitors in place to check service availability.</t>
  </si>
  <si>
    <r>
      <rPr>
        <b/>
        <sz val="12"/>
        <color rgb="FF000000"/>
        <rFont val="Calibri"/>
        <family val="2"/>
        <scheme val="minor"/>
      </rPr>
      <t>Synthetic</t>
    </r>
    <r>
      <rPr>
        <sz val="12"/>
        <color rgb="FF000000"/>
        <rFont val="Calibri"/>
        <family val="2"/>
        <scheme val="minor"/>
      </rPr>
      <t>: Critical Business Transactions</t>
    </r>
  </si>
  <si>
    <t>Service has synthetic monitors in place to check if all the critical business operations are performing with expected performance.</t>
  </si>
  <si>
    <t>TLS Encryption Health Checks</t>
  </si>
  <si>
    <t>Service performs the successful TLS handshake to ensure TLS certificate is valid with expected behavior.</t>
  </si>
  <si>
    <t>TLS Certificates Expiry Checks</t>
  </si>
  <si>
    <t>Service performs the TLS certification expiry checks to ensure no service distrubtions due to certs expiry.</t>
  </si>
  <si>
    <t>Layer 1</t>
  </si>
  <si>
    <t>Infrastructure (Host, OS, Container, Network)</t>
  </si>
  <si>
    <t>OS CPU Utilization</t>
  </si>
  <si>
    <t>Service monitors the Operating System CPU utilization that help assess the resource consumption of services.</t>
  </si>
  <si>
    <t>OS Memory Utilization</t>
  </si>
  <si>
    <t>Service monitors the Operating System Memory utilization that help assess the resource consumption of services.</t>
  </si>
  <si>
    <t>OS Disk I/O</t>
  </si>
  <si>
    <t>Service monitors the Operating System Disk I/O utilization that help assess the resource consumption of services.</t>
  </si>
  <si>
    <t>OS Disk Capacity</t>
  </si>
  <si>
    <t>Service monitors the Operating System Disk capacity utilization that help assess the resource consumption of services.</t>
  </si>
  <si>
    <t>OS Network I/O</t>
  </si>
  <si>
    <t>Service monitors the Operating System Network I/O utilization that help assess the resource consumption of services.</t>
  </si>
  <si>
    <t>OS Availability Checks</t>
  </si>
  <si>
    <t>Service monitors the Operating System availability to ensure no service distrubtion.</t>
  </si>
  <si>
    <t>OS Error Rate</t>
  </si>
  <si>
    <t>Service monitors the Operating System error rate within the defined threshold budget.</t>
  </si>
  <si>
    <t>Layer 2</t>
  </si>
  <si>
    <t>Application Container Health</t>
  </si>
  <si>
    <t>App Process CPU Utilization</t>
  </si>
  <si>
    <t>Service monitors the Application Process CPU utilization that help assess the resource consumption of a particular application process.</t>
  </si>
  <si>
    <t>App Process Memory Utilization</t>
  </si>
  <si>
    <t>Service monitors the Application Process Memory utilization that help assess the resource consumption of a particular application process.</t>
  </si>
  <si>
    <t>App Process Error Rate</t>
  </si>
  <si>
    <t>Service monitors the Application Process error rate within the defined threshold budget.</t>
  </si>
  <si>
    <t>App Process Dependency Health Checks</t>
  </si>
  <si>
    <t>Service performs the Application Process dependency health checks. This validates and ensures that it can interact with its core dependencies, like databases.</t>
  </si>
  <si>
    <t>App Thread Pool Monitoring</t>
  </si>
  <si>
    <t>Service monitors the thread pool metrics.</t>
  </si>
  <si>
    <t>App Active Connections Monitoring</t>
  </si>
  <si>
    <t xml:space="preserve">Service monitors the Active connection within a system. It helps identify if a system is overloaded or if there are issues with the number of open connections. </t>
  </si>
  <si>
    <t>App GC Metrics Monitoring</t>
  </si>
  <si>
    <t>Service monitors the Garbage Collection metrics. It helps track the efficiency and impact of automatic memory reclamation in applications.</t>
  </si>
  <si>
    <t>Layer 3</t>
  </si>
  <si>
    <t>Application-Specific Metrics</t>
  </si>
  <si>
    <t>5xx Errors Trend</t>
  </si>
  <si>
    <t>Service measures the 5xx errors trends to see anomalies.</t>
  </si>
  <si>
    <t>4xx Errors Trend</t>
  </si>
  <si>
    <t>Service measures the 4xx errors trends to see anomalies.</t>
  </si>
  <si>
    <t>HTTP Response Latency</t>
  </si>
  <si>
    <t xml:space="preserve">Service monitors the response latency of your HTTP request traffic. It's a critical performance metric, directly impacting user experience and overall application responsiveness. </t>
  </si>
  <si>
    <t>App Dependency Health Checks</t>
  </si>
  <si>
    <t xml:space="preserve">Service performs the Application dependency health checks to ensure no upstream / downstream issues. </t>
  </si>
  <si>
    <t>App (Custom) Errors Monitoring</t>
  </si>
  <si>
    <t>Service monitors custom (application specific) error checks to observe any anomalies which could cause business distrubtion.</t>
  </si>
  <si>
    <t>App Error Rate</t>
  </si>
  <si>
    <t>Service monitors the Application error rate within the defined threshold budget.</t>
  </si>
  <si>
    <t>Mission Control: Service View Onboarded</t>
  </si>
  <si>
    <t>Service is onboarded to Mission Control.</t>
  </si>
  <si>
    <t>Mission Control: Critical Health Metrics</t>
  </si>
  <si>
    <t>Service has integrated right set of health metrics to help detect issues promptly during incident triage.</t>
  </si>
  <si>
    <t>Mission Control: Dependencies Health Embedded</t>
  </si>
  <si>
    <t>Service has embedded all application shared dependencies within their service architecture e.g., AuthN, API Gateway etc.</t>
  </si>
  <si>
    <t>Mission Control: Cloud Infra Health Embedded</t>
  </si>
  <si>
    <t>Service has embedded all applicatin cloud dependencies within their service architecture e.g., ELB, ILB, DNS etc.</t>
  </si>
  <si>
    <t>Layer 4</t>
  </si>
  <si>
    <t>Business Value and User Impact</t>
  </si>
  <si>
    <t>Actual Uptime</t>
  </si>
  <si>
    <t xml:space="preserve">Actual service availability (uptime) in production. This is based on combination of 2 key metrics: a) Synthetics: Service Availability b) VM node / Pod uptime availability </t>
  </si>
  <si>
    <t>Success Rate</t>
  </si>
  <si>
    <t>Service monitors the success rate. This indicate the percentage of successful business transactions serviced (interactive and/or background processing).</t>
  </si>
  <si>
    <t>Integration Metrics</t>
  </si>
  <si>
    <t>Service monitors the integration touch points primarily w.r.t upstream and downstream services. This helps gain insights if data is exchanged as per the defined contract.</t>
  </si>
  <si>
    <t>Usage Metrics</t>
  </si>
  <si>
    <t>Service monitors usage metrics to understand how the system, application, and/or a given feature is being used by the customer. This help understand users behavior, interaction with the system etc.</t>
  </si>
  <si>
    <t>.</t>
  </si>
  <si>
    <t>Throughput Metrics</t>
  </si>
  <si>
    <t>Service measures the number of requests handled by the system per unit of time (e.g., requests per second).</t>
  </si>
  <si>
    <t>Latency Metrics</t>
  </si>
  <si>
    <t>Service measures the time taken for requests to complete, usually tracked using percentiles (e.g., p95, p99) to capture slowest responses.</t>
  </si>
  <si>
    <t>Critical Business Metrics</t>
  </si>
  <si>
    <t>Service measures all the business metrics which are critical to an business application to help maintain customer experience.</t>
  </si>
  <si>
    <r>
      <rPr>
        <b/>
        <sz val="12"/>
        <color rgb="FF000000"/>
        <rFont val="Calibri"/>
        <family val="2"/>
        <scheme val="minor"/>
      </rPr>
      <t>Tenant</t>
    </r>
    <r>
      <rPr>
        <sz val="12"/>
        <color rgb="FF000000"/>
        <rFont val="Calibri"/>
        <family val="2"/>
        <scheme val="minor"/>
      </rPr>
      <t xml:space="preserve"> Fairness Checks</t>
    </r>
  </si>
  <si>
    <t>Service measures the tenant fairness end to end. This ensures that each tenant gets fair access to resources and services, even when they are sharing the same infrastructure.</t>
  </si>
  <si>
    <r>
      <rPr>
        <b/>
        <sz val="12"/>
        <color rgb="FF000000"/>
        <rFont val="Calibri"/>
        <family val="2"/>
        <scheme val="minor"/>
      </rPr>
      <t>Tenant:</t>
    </r>
    <r>
      <rPr>
        <sz val="12"/>
        <color rgb="FF000000"/>
        <rFont val="Calibri"/>
        <family val="2"/>
        <scheme val="minor"/>
      </rPr>
      <t xml:space="preserve"> Error Rate</t>
    </r>
  </si>
  <si>
    <t>Service measures the tenant specific error rate.</t>
  </si>
  <si>
    <r>
      <rPr>
        <b/>
        <sz val="12"/>
        <color rgb="FF000000"/>
        <rFont val="Calibri"/>
        <family val="2"/>
        <scheme val="minor"/>
      </rPr>
      <t>Tenant:</t>
    </r>
    <r>
      <rPr>
        <sz val="12"/>
        <color rgb="FF000000"/>
        <rFont val="Calibri"/>
        <family val="2"/>
        <scheme val="minor"/>
      </rPr>
      <t xml:space="preserve"> Response Latency</t>
    </r>
  </si>
  <si>
    <t>Service measures tenant specific response latency. This would help in gaining insights on tenant specific issues (e.g. high latency due to noisy tenant in the system).</t>
  </si>
  <si>
    <t>Adoption Metrics</t>
  </si>
  <si>
    <t xml:space="preserve">Service measure how well users integrate a product or feature into their regular usage, indicating the success of new releases or features. These metrics provide valuable insights into user behavior and help product teams understand if their efforts are meeting user needs and goals. </t>
  </si>
  <si>
    <t>Historical Trends</t>
  </si>
  <si>
    <t>Service monitors Historical trends to spot long term issues, such as performance degradation, memory leak, resource overuse.</t>
  </si>
  <si>
    <t>Alerts Configured w/ Actionable SOPs</t>
  </si>
  <si>
    <t>Service alerts have actionable SOPs to restore service and/or business functionality.</t>
  </si>
  <si>
    <t>Alerts Integration w/ PD</t>
  </si>
  <si>
    <t>Service alerts are configured to UKG incident management system, Pager Duty, to prevent and resolve business-impacting incidents.</t>
  </si>
  <si>
    <t>Layer 5</t>
  </si>
  <si>
    <t>Observability Outcomes</t>
  </si>
  <si>
    <r>
      <t xml:space="preserve">MTTA </t>
    </r>
    <r>
      <rPr>
        <sz val="12"/>
        <color rgb="FF0070C0"/>
        <rFont val="Calibri (Body)"/>
      </rPr>
      <t>(mins)</t>
    </r>
  </si>
  <si>
    <t>Average time it takes from when an alert is triggered to when work begins on the issue. This metric is useful for tracking your team’s responsiveness and your alert system’s effectiveness. To calculate your MTTA, add up the time between alert and acknowledgement, then divide by the number of incidents.</t>
  </si>
  <si>
    <r>
      <t>MTTM</t>
    </r>
    <r>
      <rPr>
        <sz val="12"/>
        <color rgb="FF0070C0"/>
        <rFont val="Calibri (Body)"/>
      </rPr>
      <t xml:space="preserve"> (mins)</t>
    </r>
  </si>
  <si>
    <t>Average time it takes to resolve a system or product failure, from the time the problem occurs to when the system is fully operational again. This is a crucial metric for understanding how efficiently an organization can respond to and resolve incidents, ultimately impacting system reliability and user satisfaction. It is calculated by summing the total time taken to mitigate all incidents within a specific period and then dividing that total by the number of incidents during that period.</t>
  </si>
  <si>
    <r>
      <rPr>
        <sz val="12"/>
        <color rgb="FF000000"/>
        <rFont val="Calibri"/>
        <family val="2"/>
      </rPr>
      <t xml:space="preserve">False Alarms </t>
    </r>
    <r>
      <rPr>
        <sz val="12"/>
        <color rgb="FF0070C0"/>
        <rFont val="Calibri"/>
        <family val="2"/>
      </rPr>
      <t>(count)</t>
    </r>
  </si>
  <si>
    <t>Total count of alerts that indicates a problem or threat when, in reality, there is none.</t>
  </si>
  <si>
    <r>
      <t>Alert Volume</t>
    </r>
    <r>
      <rPr>
        <sz val="12"/>
        <color rgb="FF0070C0"/>
        <rFont val="Calibri (Body)"/>
      </rPr>
      <t xml:space="preserve"> (count</t>
    </r>
    <r>
      <rPr>
        <sz val="12"/>
        <color theme="1"/>
        <rFont val="Calibri"/>
        <family val="2"/>
        <scheme val="minor"/>
      </rPr>
      <t>)</t>
    </r>
  </si>
  <si>
    <t>The count of alerts generated in Pager Duty for a Service.</t>
  </si>
  <si>
    <r>
      <t>Incident Volume</t>
    </r>
    <r>
      <rPr>
        <sz val="12"/>
        <color rgb="FF0070C0"/>
        <rFont val="Calibri (Body)"/>
      </rPr>
      <t xml:space="preserve"> (count</t>
    </r>
    <r>
      <rPr>
        <sz val="12"/>
        <color theme="1"/>
        <rFont val="Calibri"/>
        <family val="2"/>
        <scheme val="minor"/>
      </rPr>
      <t>)</t>
    </r>
  </si>
  <si>
    <t>The number of incidents opened for a Service resulted in a swarm bridge.</t>
  </si>
  <si>
    <r>
      <t xml:space="preserve">Change Volume </t>
    </r>
    <r>
      <rPr>
        <sz val="12"/>
        <color rgb="FF0070C0"/>
        <rFont val="Calibri (Body)"/>
      </rPr>
      <t>(count)</t>
    </r>
  </si>
  <si>
    <t>The number of changes related to emergency fixes and/or critical updates post a standard release.</t>
  </si>
  <si>
    <t>Please only modify the &lt;Maturity Eval&gt; sheet</t>
  </si>
  <si>
    <t>AI (Raw data)</t>
  </si>
  <si>
    <t xml:space="preserve">Teams (Engg. + SRE) need to provide data (against each metric) for the services they own																	
Please provide data in the metric unit specified for Heatmap to evaluate conditions in the pre-defined units																																	
Any modification to be reflected in the Heatmap require you to click on the respective VS (Heatmap) sheet for macro to trigger																	
Alternatively, you can click "Refresh Heatmap" button on top of the Heatmap Target sheet to force trigger for entire spreadsheet																	</t>
  </si>
  <si>
    <t>Services</t>
  </si>
  <si>
    <t>Name</t>
  </si>
  <si>
    <t>Domain</t>
  </si>
  <si>
    <t>Details</t>
  </si>
  <si>
    <t>Manager</t>
  </si>
  <si>
    <t>Architect</t>
  </si>
  <si>
    <t>SRE</t>
  </si>
  <si>
    <t>Bryte Activation</t>
  </si>
  <si>
    <t xml:space="preserve">Flex\AI </t>
  </si>
  <si>
    <t>Tenant Activation for Bryte AI</t>
  </si>
  <si>
    <t>Himani</t>
  </si>
  <si>
    <t>Manjul</t>
  </si>
  <si>
    <t>tbd</t>
  </si>
  <si>
    <t>Intent Classifier And Entity Recognition</t>
  </si>
  <si>
    <t>Conversational Intent Identification NLU Service</t>
  </si>
  <si>
    <t>Sarvesh</t>
  </si>
  <si>
    <t>Adversarial Check</t>
  </si>
  <si>
    <t>Conversational Adversarial Service</t>
  </si>
  <si>
    <t xml:space="preserve">Intent Training Metrics </t>
  </si>
  <si>
    <t>Conversational Intent Training Metrics</t>
  </si>
  <si>
    <t>Skills</t>
  </si>
  <si>
    <t>Service for Career Designer/ITM Use Cases</t>
  </si>
  <si>
    <t>Ron Somerville</t>
  </si>
  <si>
    <t>Jai Veerthineni</t>
  </si>
  <si>
    <t>Tom Mackall</t>
  </si>
  <si>
    <t>DSAAS</t>
  </si>
  <si>
    <t>Data Science as a Service Platform. Supports the creation of AI Applications</t>
  </si>
  <si>
    <t>&lt;SRE&gt;</t>
  </si>
  <si>
    <t>RAG</t>
  </si>
  <si>
    <t>RAG service for customer and global documents</t>
  </si>
  <si>
    <t>Tony Magi</t>
  </si>
  <si>
    <t>Agent Framework</t>
  </si>
  <si>
    <t>Agent service (agent execution)</t>
  </si>
  <si>
    <t>Marc Khoury</t>
  </si>
  <si>
    <t>URIKA</t>
  </si>
  <si>
    <t>UKG Rapid Incident Knowledge Assistant</t>
  </si>
  <si>
    <t>Kamran Farzami</t>
  </si>
  <si>
    <t>Tian Zhu</t>
  </si>
  <si>
    <t>Mission Control</t>
  </si>
  <si>
    <t>Babita Bhardwaj</t>
  </si>
  <si>
    <t>UKG GPT</t>
  </si>
  <si>
    <t>Toby Brooks</t>
  </si>
  <si>
    <t>GPTW/DEIB</t>
  </si>
  <si>
    <t>Provides DEI&amp;B insights and metrics</t>
  </si>
  <si>
    <t>Tech Platform</t>
  </si>
  <si>
    <t>Foundational layer that serves as common platform</t>
  </si>
  <si>
    <t>Soumitra Chanda</t>
  </si>
  <si>
    <t>Mete</t>
  </si>
  <si>
    <t>PGE</t>
  </si>
  <si>
    <t>Notifications to Proactively guide employees</t>
  </si>
  <si>
    <t>People Fabric Observability &amp; Resiliency Health Baseline.xlsm</t>
  </si>
  <si>
    <t>OneWebMFE</t>
  </si>
  <si>
    <t>Isaac</t>
  </si>
  <si>
    <t>Al Wolfson</t>
  </si>
  <si>
    <t>Brooke Roberts</t>
  </si>
  <si>
    <t>Bryte Assist</t>
  </si>
  <si>
    <t>Bryte Assistant for AI based conversational search</t>
  </si>
  <si>
    <t>Brooke Roberts/Shubham Nayak</t>
  </si>
  <si>
    <t>OneWeb Services</t>
  </si>
  <si>
    <t>* THIS SHEET IS PROTECTED TO RESTRICT CHANGES 
* DO NOT APPLY FILTERS TO ANY OF THE COLUMNS
* TO RUN MACRO (Refresh Heatmap), PLEASE OPEN THE EXCEL IN DESKTOP APP</t>
  </si>
  <si>
    <t>Metric Scorecard</t>
  </si>
  <si>
    <t>Target 
(Rolling window of 30 days)</t>
  </si>
  <si>
    <t>HeatMap 
Formula</t>
  </si>
  <si>
    <t>Y</t>
  </si>
  <si>
    <t>Partial</t>
  </si>
  <si>
    <t>N</t>
  </si>
  <si>
    <r>
      <rPr>
        <b/>
        <sz val="12"/>
        <color rgb="FF000000"/>
        <rFont val="Calibri"/>
        <family val="2"/>
        <scheme val="minor"/>
      </rPr>
      <t>Tenant</t>
    </r>
    <r>
      <rPr>
        <sz val="12"/>
        <color rgb="FF000000"/>
        <rFont val="Calibri"/>
        <family val="2"/>
        <scheme val="minor"/>
      </rPr>
      <t>: Error Rate</t>
    </r>
  </si>
  <si>
    <r>
      <rPr>
        <b/>
        <sz val="12"/>
        <color rgb="FF000000"/>
        <rFont val="Calibri"/>
        <family val="2"/>
        <scheme val="minor"/>
      </rPr>
      <t>Tenant</t>
    </r>
    <r>
      <rPr>
        <sz val="12"/>
        <color rgb="FF000000"/>
        <rFont val="Calibri"/>
        <family val="2"/>
        <scheme val="minor"/>
      </rPr>
      <t>: Response Latency</t>
    </r>
  </si>
  <si>
    <t>&lt; 10 mins</t>
  </si>
  <si>
    <t>10 - 15 mins</t>
  </si>
  <si>
    <t>&gt; 15 mins</t>
  </si>
  <si>
    <t>&lt; 60 mins</t>
  </si>
  <si>
    <t>60 - 90 mins</t>
  </si>
  <si>
    <t>&gt; 90 mins</t>
  </si>
  <si>
    <t>&gt; 1</t>
  </si>
  <si>
    <t>&lt;= 10</t>
  </si>
  <si>
    <t>10 - 20</t>
  </si>
  <si>
    <t>&gt; 20</t>
  </si>
  <si>
    <t>&lt;= 2</t>
  </si>
  <si>
    <t>2 - 5</t>
  </si>
  <si>
    <t>&gt; 5</t>
  </si>
  <si>
    <t>Coverage (%)</t>
  </si>
  <si>
    <t>Overall Coverage</t>
  </si>
  <si>
    <t>(Rolling window of 30 days)</t>
  </si>
  <si>
    <t>* After sorting, please refresh Heatmap (run macro from HeatMap Target sheet)</t>
  </si>
  <si>
    <t>Target</t>
  </si>
  <si>
    <t>Heatmap</t>
  </si>
  <si>
    <t>TBD</t>
  </si>
  <si>
    <t>N/A</t>
  </si>
  <si>
    <t>?</t>
  </si>
  <si>
    <t>`</t>
  </si>
  <si>
    <t>Actual Data</t>
  </si>
  <si>
    <t>Don't UPDATE values here. This sheet is sourcing data from (Maturity Eval)</t>
  </si>
  <si>
    <t>AI</t>
  </si>
  <si>
    <t>Gaps (%)</t>
  </si>
  <si>
    <t>Maturity</t>
  </si>
  <si>
    <t>JIRA#</t>
  </si>
  <si>
    <t>JIRA (Total)</t>
  </si>
  <si>
    <t/>
  </si>
  <si>
    <t>Grand Total</t>
  </si>
  <si>
    <t>JIRA</t>
  </si>
  <si>
    <t>Created</t>
  </si>
  <si>
    <t>Closed</t>
  </si>
  <si>
    <t>In Progress</t>
  </si>
  <si>
    <t>By Layer</t>
  </si>
  <si>
    <t>Gap (%)</t>
  </si>
  <si>
    <t>Progress (%)</t>
  </si>
  <si>
    <r>
      <rPr>
        <b/>
        <sz val="16"/>
        <color rgb="FF000000"/>
        <rFont val="Calibri"/>
        <family val="2"/>
        <scheme val="minor"/>
      </rPr>
      <t xml:space="preserve">Refer to </t>
    </r>
    <r>
      <rPr>
        <b/>
        <sz val="16"/>
        <color rgb="FF4472C4"/>
        <rFont val="Calibri"/>
        <family val="2"/>
        <scheme val="minor"/>
      </rPr>
      <t>BEpics sheet</t>
    </r>
    <r>
      <rPr>
        <b/>
        <sz val="16"/>
        <color rgb="FF2731F5"/>
        <rFont val="Calibri"/>
        <family val="2"/>
        <scheme val="minor"/>
      </rPr>
      <t xml:space="preserve"> </t>
    </r>
    <r>
      <rPr>
        <b/>
        <sz val="16"/>
        <color rgb="FF000000"/>
        <rFont val="Calibri"/>
        <family val="2"/>
        <scheme val="minor"/>
      </rPr>
      <t>for Business Epics &amp; Story tracking</t>
    </r>
  </si>
  <si>
    <t>Data</t>
  </si>
  <si>
    <t>Source</t>
  </si>
  <si>
    <t>&lt;Provide details in the Details column for each of the Data type&gt;</t>
  </si>
  <si>
    <t>Logs</t>
  </si>
  <si>
    <t>Splunk</t>
  </si>
  <si>
    <t>Metrics</t>
  </si>
  <si>
    <t>Grafana</t>
  </si>
  <si>
    <t>Alerts</t>
  </si>
  <si>
    <t>Splunk / Grafana / Code</t>
  </si>
  <si>
    <t>Synthetic Monitors</t>
  </si>
  <si>
    <t>Datadog</t>
  </si>
  <si>
    <t>Escalation Policy</t>
  </si>
  <si>
    <t>Pager Duty</t>
  </si>
  <si>
    <t>Service View in MC</t>
  </si>
  <si>
    <t>Incidents</t>
  </si>
  <si>
    <t>Service Now</t>
  </si>
  <si>
    <t>Work Backlog</t>
  </si>
  <si>
    <t>Maturity Assessment</t>
  </si>
  <si>
    <t>Is metric used
by dashboard?</t>
  </si>
  <si>
    <t>Is metric used
by alert?</t>
  </si>
  <si>
    <t xml:space="preserve">Comments </t>
  </si>
  <si>
    <t>JIRA Ref</t>
  </si>
  <si>
    <t>Comments</t>
  </si>
  <si>
    <t>[</t>
  </si>
  <si>
    <t xml:space="preserve">APIs hosted on common platfrom , AI techplatform has to implement </t>
  </si>
  <si>
    <t xml:space="preserve">GCP Ingress LB metric missing on Grafana </t>
  </si>
  <si>
    <t>https://engjira.int.kronos.com/browse/PS-597275</t>
  </si>
  <si>
    <t>APIs hosted on  tech platform, so this can be implemented here for all APIs. 
3 endpoints, but only generic input is in use
1. /adversarial-prompt/generic_input
2. /adversarial-prompt/generic_output
3. /adversarial-prompt/conv_reporting</t>
  </si>
  <si>
    <t>https://engjira.int.kronos.com/browse/PS-545419</t>
  </si>
  <si>
    <t>https://ukg.grafana.net/d/mu4bkrf/conversational-framework-observability-sre?orgId=1&amp;from=now-7d&amp;to=now&amp;timezone=browser&amp;var-env=DEV&amp;var-datasource=de9azvkj5tudca&amp;var-prom_datasource=edi58rhsvq2v4b&amp;var-multi_region=us-east4&amp;var-environment=dev-staging&amp;var-service=ner&amp;var-endpoint=v2%2Fscore&amp;var-endpoint_data=%2Fner%2Fv2%2Fscore&amp;var-dataset_id=conv_observability_dev_stage_us_81451&amp;var-datacenter=us_east4&amp;var-namespace=ds-staging&amp;var-mongodb_cl_name=privacy-manager-beta-6sysc&amp;viewPanel=panel-38</t>
  </si>
  <si>
    <t>https://engjira.int.kronos.com/browse/PS-545421</t>
  </si>
  <si>
    <t>LB or the one in front of the GW or in front of our pods?</t>
  </si>
  <si>
    <t>Google CDN</t>
  </si>
  <si>
    <t>get dashboard from cloud networking team</t>
  </si>
  <si>
    <t>PS-572734</t>
  </si>
  <si>
    <t>check #13</t>
  </si>
  <si>
    <t>Eng checking on API gtw logs</t>
  </si>
  <si>
    <t>https://engjira.int.kronos.com/browse/PS-598451</t>
  </si>
  <si>
    <t>https://engjira.int.kronos.com/browse/PS-664093</t>
  </si>
  <si>
    <t>Handled by Tech Platform</t>
  </si>
  <si>
    <t>which gateway?</t>
  </si>
  <si>
    <t>Configured in hyperwatch</t>
  </si>
  <si>
    <t>Synthetics to be created in Grafana</t>
  </si>
  <si>
    <t>https://engjira.int.kronos.com/browse/PS-598453</t>
  </si>
  <si>
    <t>https://engjira.int.kronos.com/browse/PS-664099</t>
  </si>
  <si>
    <t>Same as above</t>
  </si>
  <si>
    <t>Only Pro certs are used for Intent Classifier Service; no extra certs</t>
  </si>
  <si>
    <t>jira dashboard</t>
  </si>
  <si>
    <t>pod usage is monitored, work with SRE for dashboard</t>
  </si>
  <si>
    <t>https://ukg.grafana.net/goto/bf07uu9xoeuwwb?orgId=1</t>
  </si>
  <si>
    <t>https://ukg.grafana.net/goto/cezq59mejv6yoe?orgId=1</t>
  </si>
  <si>
    <t>Kubernetes</t>
  </si>
  <si>
    <t>k8s</t>
  </si>
  <si>
    <t>https://ukg.grafana.net/goto/df07uvra4f4e8c?orgId=1</t>
  </si>
  <si>
    <t>https://ukg.grafana.net/d/0VSiotDnk/k8s-cluster-health?var-interval=1m&amp;orgId=1&amp;from=now-6h&amp;to=now&amp;timezone=browser&amp;var-dc=us-east4&amp;var-environment=ds-dev&amp;var-container=service-intent-training-metrics&amp;var-datasource=edi58rhsvq2v4b&amp;refresh=5s&amp;viewPanel=panel-10</t>
  </si>
  <si>
    <t>check #19</t>
  </si>
  <si>
    <t>Disk metrics missing in Grafana</t>
  </si>
  <si>
    <t>https://engjira.int.kronos.com/browse/PS-598462</t>
  </si>
  <si>
    <t>https://ukg.grafana.net/goto/aezrldqj5qy2od?orgId=1
https://ukg.grafana.net/goto/eezrleo8qfklcb?orgId=1</t>
  </si>
  <si>
    <t>work with SRE for dashboard</t>
  </si>
  <si>
    <t>https://ukg.grafana.net/d/0VSiotDnk/k8s-cluster-health?var-interval=1m&amp;orgId=1&amp;from=now-6h&amp;to=now&amp;timezone=browser&amp;var-dc=us-east4&amp;var-environment=ds-dev&amp;var-container=service-intent-training-metrics&amp;var-datasource=edi58rhsvq2v4b&amp;refresh=5s&amp;viewPanel=panel-16
https://ukg.grafana.net/d/0VSiotDnk/k8s-cluster-health?var-interval=1m&amp;orgId=1&amp;from=now-6h&amp;to=now&amp;timezone=browser&amp;var-dc=us-east4&amp;var-environment=ds-dev&amp;var-container=service-intent-training-metrics&amp;var-datasource=edi58rhsvq2v4b&amp;refresh=5s&amp;viewPanel=panel-18</t>
  </si>
  <si>
    <t>To be added % of Ready nodes in the cluster</t>
  </si>
  <si>
    <t>https://engjira.int.kronos.com/browse/PS-598469</t>
  </si>
  <si>
    <t>check #23</t>
  </si>
  <si>
    <t>Need more info? We get it through Service Availability</t>
  </si>
  <si>
    <t>Need more info?</t>
  </si>
  <si>
    <t>TBD for OS errors - OOMKilling, NodeHasDiskPressure, NodeHasInsufficientMemory</t>
  </si>
  <si>
    <t>https://engjira.int.kronos.com/browse/PS-598500</t>
  </si>
  <si>
    <t>https://ukg.grafana.net/goto/dezq5byaghs00f?orgId=1</t>
  </si>
  <si>
    <t>https://ukg.grafana.net/d/0VSiotDnk/k8s-cluster-health?var-interval=1m&amp;orgId=1&amp;from=now-6h&amp;to=now&amp;timezone=browser&amp;var-dc=us-east4&amp;var-environment=ds-dev&amp;var-container=service-intent-training-metrics&amp;var-datasource=edi58rhsvq2v4b&amp;refresh=5s&amp;viewPanel=panel-12</t>
  </si>
  <si>
    <t>k8s doesn't track this</t>
  </si>
  <si>
    <t>https://ukg.grafana.net/goto/eezq5d42jgvswa?orgId=1</t>
  </si>
  <si>
    <t>https://ukg.grafana.net/d/0VSiotDnk/k8s-cluster-health?var-interval=1m&amp;orgId=1&amp;from=now-6h&amp;to=now&amp;timezone=browser&amp;var-dc=us-east4&amp;var-environment=ds-dev&amp;var-container=service-intent-training-metrics&amp;var-datasource=edi58rhsvq2v4b&amp;refresh=5s&amp;viewPanel=panel-14</t>
  </si>
  <si>
    <t>https://ukg.grafana.net/goto/cezrnm4ugy3uof?orgId=1
Present Incoming Request Errors 
TBD - Overall app error rate (%)</t>
  </si>
  <si>
    <t>https://engjira.int.kronos.com/browse/PS-598507</t>
  </si>
  <si>
    <t>TBD for MongoDB dependency- Eng to share input</t>
  </si>
  <si>
    <t>https://engjira.int.kronos.com/browse/PS-598508</t>
  </si>
  <si>
    <t>NA</t>
  </si>
  <si>
    <t>N/A to Python</t>
  </si>
  <si>
    <t>TBD for GUNICORN_WORKERS  and GUNICORN_THREADS metrics</t>
  </si>
  <si>
    <t>https://engjira.int.kronos.com/browse/PS-598513</t>
  </si>
  <si>
    <t>TBD for no. of connections to NER service</t>
  </si>
  <si>
    <t>https://engjira.int.kronos.com/browse/PS-598516</t>
  </si>
  <si>
    <t>TBD for python GC metrics</t>
  </si>
  <si>
    <t>https://engjira.int.kronos.com/browse/PS-598519</t>
  </si>
  <si>
    <t>WIP</t>
  </si>
  <si>
    <t>https://engjira.int.kronos.com/browse/PS-545430</t>
  </si>
  <si>
    <t>https://engjira.int.kronos.com/browse/PS-545427</t>
  </si>
  <si>
    <t>https://engjira.int.kronos.com/browse/PS-545424</t>
  </si>
  <si>
    <t>SRE review - 5xx Errors Trend
Insights:
The base metric http_request_count_total is coming from ds-library-actuator-python project.
Positives:
Meets target description.
Has thresholds defined
Opportunities:
The metric name http_request_count_total doesn't explicitly describe if this is an inbound HTTP server request, or an outbound HTTP client request. Reference: https://github.com/UKGEPIC/ds-library-actuator-python/issues/88
The endpoint label has high cardinality risk. Reference: https://github.com/UKGEPIC/ds-library-actuator-python/issues/87</t>
  </si>
  <si>
    <t>PS-572770</t>
  </si>
  <si>
    <t>Insights:
The base metric http_request_count_total is coming from ds-library-actuator-python project.
Positives:
Meets target description.
Has thresholds defined
Opportunities:
The metric name http_request_count_total doesn't explicitly describe if this is an inbound HTTP server request, or an outbound HTTP client request. Reference: https://github.com/UKGEPIC/ds-library-actuator-python/issues/88
The endpoint label has high cardinality risk. Reference: https://github.com/UKGEPIC/ds-library-actuator-python/issues/87</t>
  </si>
  <si>
    <t xml:space="preserve">WIP / observability epic </t>
  </si>
  <si>
    <t>Insights:
The base metric http_request_latency_milliseconds_summary_sum is coming from ds-library-actuator-python project.
Positives:
Meets target description.
Has thresholds defined
Opportunities:
The query is a rate of sum growth and instead should be a percentile such as p95</t>
  </si>
  <si>
    <t xml:space="preserve">WIP / observability epic / External service specific error codes </t>
  </si>
  <si>
    <t>If this means checking downstream dependencies</t>
  </si>
  <si>
    <t>Insights:
It's not totally clear to me what the definition of this metric means in practice. I've advise teams to implement client-side instrumentation to emit metrics for external dependency interactions.
I did not see any dependency related metrics from: https://service-smart-agents-model.ds-dev.us-east4.dev.gcp.int/actuator/prometheus/
Service has these external dependencies: MongoDB, Redis, VertexAI, External REST APIs
Opportunities:
HTTP client instrumentation can help emit external REST API calls for success/error trends on those dependencies -- this should cover VertexAI as well since that is HTTP
MongoDB interactions should be measured as well</t>
  </si>
  <si>
    <t xml:space="preserve">WIP </t>
  </si>
  <si>
    <t>check #36</t>
  </si>
  <si>
    <t>SRE review - App (Custom) Errors Monitoring
Insights:
The base metric http_request_count_total is coming from ds-library-actuator-python project.
Positives:
Monitors 4XX errors as custom errors.
Opportunities:
The metric name http_request_count_total doesn't explicitly describe if this is an inbound HTTP server request, or an outbound HTTP client request. Reference: https://github.com/UKGEPIC/ds-library-actuator-python/issues/88
The endpoint label has high cardinality risk. Reference: https://github.com/UKGEPIC/ds-library-actuator-python/issues/87</t>
  </si>
  <si>
    <t>SRE review - App Error Rate
Insights:
The base metric http_request_count_total is coming from ds-library-actuator-python project.
Positives:
Has links to splunk logs -- awesome!
Opportunities:
The query can be simplified by using rate() instead of max_over_time() - min_over_time() as rate normalizes as rate per second.
The metric name http_request_count_total doesn't explicitly describe if this is an inbound HTTP server request, or an outbound HTTP client request. Reference: https://github.com/UKGEPIC/ds-library-actuator-python/issues/88
The endpoint label has high cardinality risk. Reference: https://github.com/UKGEPIC/ds-library-actuator-python/issues/87</t>
  </si>
  <si>
    <t>Service in Dev-Only</t>
  </si>
  <si>
    <t>move to new pillar</t>
  </si>
  <si>
    <t>need to move to new pillar</t>
  </si>
  <si>
    <t>PS-657010</t>
  </si>
  <si>
    <t>PS-572749</t>
  </si>
  <si>
    <t>valid for k8s?</t>
  </si>
  <si>
    <t>PS-572779</t>
  </si>
  <si>
    <t>Definition? Inverse of failures?</t>
  </si>
  <si>
    <t>Investigate metrics availbility from Google CDN</t>
  </si>
  <si>
    <t>api usage volume?</t>
  </si>
  <si>
    <t xml:space="preserve">Discuss with SRE </t>
  </si>
  <si>
    <t xml:space="preserve">WIP / SLI/SLO defined </t>
  </si>
  <si>
    <t xml:space="preserve">WIP / SLI/SLO calcuted at tenant level to show outliers </t>
  </si>
  <si>
    <t xml:space="preserve">check AI/ gw metrics </t>
  </si>
  <si>
    <t>no server affinity</t>
  </si>
  <si>
    <t>pendo</t>
  </si>
  <si>
    <t xml:space="preserve">WIP / observability epic / check with AI Gw metrics </t>
  </si>
  <si>
    <t>mx feature, home hub widgets</t>
  </si>
  <si>
    <t>pendo for mx?</t>
  </si>
  <si>
    <t>SOP is TBD</t>
  </si>
  <si>
    <r>
      <rPr>
        <sz val="12"/>
        <color rgb="FF000000"/>
        <rFont val="Calibri"/>
        <family val="2"/>
        <scheme val="minor"/>
      </rPr>
      <t xml:space="preserve">MTTA </t>
    </r>
    <r>
      <rPr>
        <sz val="12"/>
        <color rgb="FF0070C0"/>
        <rFont val="Calibri"/>
        <family val="2"/>
      </rPr>
      <t>(mins)</t>
    </r>
  </si>
  <si>
    <t xml:space="preserve">New Service TBD </t>
  </si>
  <si>
    <t xml:space="preserve">jira dash. </t>
  </si>
  <si>
    <t xml:space="preserve">Jira </t>
  </si>
  <si>
    <t>PS-572754</t>
  </si>
  <si>
    <t>PS-572780</t>
  </si>
  <si>
    <t>TBD SRE</t>
  </si>
  <si>
    <t>AI - Observability BEpics</t>
  </si>
  <si>
    <t>Assignee</t>
  </si>
  <si>
    <t>EP-9115</t>
  </si>
  <si>
    <t>EP-9385</t>
  </si>
  <si>
    <t>Mukul K Kumar</t>
  </si>
  <si>
    <t>&lt;BEpic JIRA link&gt;</t>
  </si>
  <si>
    <t>FLEX AI SRE</t>
  </si>
  <si>
    <t>Intent Training Metrics</t>
  </si>
  <si>
    <t>AI - Observability JIRAs</t>
  </si>
  <si>
    <t>Status</t>
  </si>
  <si>
    <r>
      <rPr>
        <b/>
        <sz val="10"/>
        <color rgb="FF242424"/>
        <rFont val="Calibri"/>
        <family val="2"/>
      </rPr>
      <t xml:space="preserve"> R</t>
    </r>
    <r>
      <rPr>
        <sz val="10"/>
        <color rgb="FF242424"/>
        <rFont val="Calibri"/>
        <family val="2"/>
      </rPr>
      <t xml:space="preserve"> (Responsible): The person who do the work to achieve the task.</t>
    </r>
  </si>
  <si>
    <r>
      <rPr>
        <b/>
        <sz val="10"/>
        <color rgb="FF242424"/>
        <rFont val="Calibri"/>
        <family val="2"/>
      </rPr>
      <t xml:space="preserve"> A </t>
    </r>
    <r>
      <rPr>
        <sz val="10"/>
        <color rgb="FF242424"/>
        <rFont val="Calibri"/>
        <family val="2"/>
      </rPr>
      <t>(Accountable):  The person who is ultimately answerable for the correct and thorough completion of the task.</t>
    </r>
  </si>
  <si>
    <r>
      <rPr>
        <b/>
        <sz val="10"/>
        <color rgb="FF242424"/>
        <rFont val="Calibri"/>
        <family val="2"/>
      </rPr>
      <t xml:space="preserve"> C </t>
    </r>
    <r>
      <rPr>
        <sz val="10"/>
        <color rgb="FF242424"/>
        <rFont val="Calibri"/>
        <family val="2"/>
      </rPr>
      <t>(Consulted) The person who provide information for the project and with whom there is two-way communication.</t>
    </r>
  </si>
  <si>
    <r>
      <rPr>
        <b/>
        <sz val="10"/>
        <color rgb="FF242424"/>
        <rFont val="Calibri"/>
        <family val="2"/>
      </rPr>
      <t xml:space="preserve"> I</t>
    </r>
    <r>
      <rPr>
        <sz val="10"/>
        <color rgb="FF242424"/>
        <rFont val="Calibri"/>
        <family val="2"/>
      </rPr>
      <t xml:space="preserve"> (Informed): The person who are kept up-to-date on progress, often only on completion of the task or deliverable.</t>
    </r>
  </si>
  <si>
    <t>Category</t>
  </si>
  <si>
    <t>Task</t>
  </si>
  <si>
    <t>Engineering</t>
  </si>
  <si>
    <t>Cloud DBA</t>
  </si>
  <si>
    <t>Observability</t>
  </si>
  <si>
    <t>Standards (Logging, Monitoring, etc.)</t>
  </si>
  <si>
    <t>R, A</t>
  </si>
  <si>
    <t>C, I</t>
  </si>
  <si>
    <t>Metrics Development and Improvements</t>
  </si>
  <si>
    <t>R, C</t>
  </si>
  <si>
    <t>Alerting Development and Improvements</t>
  </si>
  <si>
    <t>Tracing Implementation</t>
  </si>
  <si>
    <t>Infra Availability / Service Health</t>
  </si>
  <si>
    <t>Troubleshooting Guides &amp; SOPs</t>
  </si>
  <si>
    <t>Capacity Management</t>
  </si>
  <si>
    <t>Capacity Planning</t>
  </si>
  <si>
    <t>R</t>
  </si>
  <si>
    <t>Capacity Improvements</t>
  </si>
  <si>
    <t>Incident Management</t>
  </si>
  <si>
    <t>SRE On-Call (24x7 Coverage)</t>
  </si>
  <si>
    <t>I</t>
  </si>
  <si>
    <t>Incident Detection &amp; Prevention</t>
  </si>
  <si>
    <t>PD Setup (for new SRE team members)</t>
  </si>
  <si>
    <t>Incident Response (Bridge / Swarm calls)</t>
  </si>
  <si>
    <t>Performance Management</t>
  </si>
  <si>
    <t>Scalability Design and Development</t>
  </si>
  <si>
    <t>Isolation Implementation (Noisy Neighbor)</t>
  </si>
  <si>
    <t>Latency Identification and Resolution Improvements</t>
  </si>
  <si>
    <t>Throughput Measurement and Improvements</t>
  </si>
  <si>
    <t>Availability Measurement and Improvements</t>
  </si>
  <si>
    <t>Problem Management</t>
  </si>
  <si>
    <t>RCA (Postmortems, ORCA etc.)</t>
  </si>
  <si>
    <t>Defect Management</t>
  </si>
  <si>
    <t>C</t>
  </si>
  <si>
    <t>Risk Management</t>
  </si>
  <si>
    <t>Compliance Controls</t>
  </si>
  <si>
    <t>Security Response</t>
  </si>
  <si>
    <t>Site Reliability</t>
  </si>
  <si>
    <t>SLI definition and Implementation</t>
  </si>
  <si>
    <t>SLO definition and Implementation</t>
  </si>
  <si>
    <t>Error Budget definition and Implementation</t>
  </si>
  <si>
    <t>Error Budget Measurement and Compliance</t>
  </si>
  <si>
    <t>Reliability Standards</t>
  </si>
  <si>
    <t>Reliability Improvements</t>
  </si>
  <si>
    <t>Automation (utilities, scripts, etc.)</t>
  </si>
  <si>
    <t>Efficiency Improvements</t>
  </si>
  <si>
    <t>Maturity Measurement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</si>
</sst>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6">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000000"/>
      <name val="Calibri"/>
      <family val="2"/>
      <scheme val="minor"/>
    </font>
    <font>
      <b/>
      <sz val="16"/>
      <color theme="1"/>
      <name val="Calibri"/>
      <family val="2"/>
      <scheme val="minor"/>
    </font>
    <font>
      <b/>
      <sz val="24"/>
      <color theme="1"/>
      <name val="Calibri"/>
      <family val="2"/>
      <scheme val="minor"/>
    </font>
    <font>
      <sz val="11"/>
      <color theme="1"/>
      <name val="Calibri"/>
      <family val="2"/>
      <scheme val="minor"/>
    </font>
    <font>
      <sz val="12"/>
      <color rgb="FFFF0000"/>
      <name val="Calibri"/>
      <family val="2"/>
      <scheme val="minor"/>
    </font>
    <font>
      <sz val="14"/>
      <color theme="1"/>
      <name val="Calibri"/>
      <family val="2"/>
      <scheme val="minor"/>
    </font>
    <font>
      <b/>
      <sz val="14"/>
      <color theme="1"/>
      <name val="Calibri"/>
      <family val="2"/>
      <scheme val="minor"/>
    </font>
    <font>
      <u/>
      <sz val="12"/>
      <color theme="10"/>
      <name val="Calibri"/>
      <family val="2"/>
      <scheme val="minor"/>
    </font>
    <font>
      <sz val="12"/>
      <color rgb="FF0070C0"/>
      <name val="Calibri (Body)"/>
    </font>
    <font>
      <sz val="1"/>
      <color theme="0"/>
      <name val="Calibri"/>
      <family val="2"/>
      <scheme val="minor"/>
    </font>
    <font>
      <sz val="1"/>
      <color theme="1"/>
      <name val="Calibri"/>
      <family val="2"/>
      <scheme val="minor"/>
    </font>
    <font>
      <sz val="12"/>
      <color rgb="FF000000"/>
      <name val="Calibri"/>
      <family val="2"/>
    </font>
    <font>
      <sz val="12"/>
      <color rgb="FF0070C0"/>
      <name val="Calibri"/>
      <family val="2"/>
    </font>
    <font>
      <sz val="12"/>
      <color theme="1"/>
      <name val="Calibri"/>
      <family val="2"/>
    </font>
    <font>
      <sz val="9"/>
      <color theme="1"/>
      <name val="Calibri"/>
      <family val="2"/>
      <scheme val="minor"/>
    </font>
    <font>
      <b/>
      <sz val="9"/>
      <color theme="1"/>
      <name val="Calibri"/>
      <family val="2"/>
      <scheme val="minor"/>
    </font>
    <font>
      <sz val="16"/>
      <color theme="1"/>
      <name val="Calibri"/>
      <family val="2"/>
      <scheme val="minor"/>
    </font>
    <font>
      <sz val="22"/>
      <color rgb="FFFF0000"/>
      <name val="Calibri"/>
      <family val="2"/>
      <scheme val="minor"/>
    </font>
    <font>
      <b/>
      <sz val="18"/>
      <color theme="1"/>
      <name val="Calibri"/>
      <family val="2"/>
      <scheme val="minor"/>
    </font>
    <font>
      <sz val="12"/>
      <color theme="1"/>
      <name val="Calibri"/>
      <family val="2"/>
      <scheme val="minor"/>
    </font>
    <font>
      <b/>
      <sz val="12"/>
      <color rgb="FF000000"/>
      <name val="Calibri"/>
      <family val="2"/>
      <scheme val="minor"/>
    </font>
    <font>
      <b/>
      <sz val="20"/>
      <color theme="1"/>
      <name val="Calibri"/>
      <family val="2"/>
      <scheme val="minor"/>
    </font>
    <font>
      <b/>
      <i/>
      <sz val="14"/>
      <color rgb="FFFF0000"/>
      <name val="Calibri"/>
      <family val="2"/>
      <scheme val="minor"/>
    </font>
    <font>
      <b/>
      <i/>
      <sz val="12"/>
      <color rgb="FFFF0000"/>
      <name val="Calibri"/>
      <family val="2"/>
      <scheme val="minor"/>
    </font>
    <font>
      <i/>
      <sz val="12"/>
      <color rgb="FFFF0000"/>
      <name val="Calibri"/>
      <family val="2"/>
      <scheme val="minor"/>
    </font>
    <font>
      <i/>
      <sz val="10"/>
      <color theme="1"/>
      <name val="Calibri"/>
      <family val="2"/>
      <scheme val="minor"/>
    </font>
    <font>
      <sz val="10"/>
      <color theme="1"/>
      <name val="Calibri"/>
      <family val="2"/>
      <scheme val="minor"/>
    </font>
    <font>
      <b/>
      <sz val="10"/>
      <color theme="1"/>
      <name val="Calibri"/>
      <family val="2"/>
      <scheme val="minor"/>
    </font>
    <font>
      <b/>
      <sz val="12"/>
      <color rgb="FFFF0000"/>
      <name val="Calibri"/>
      <family val="2"/>
      <scheme val="minor"/>
    </font>
    <font>
      <b/>
      <sz val="12"/>
      <color theme="0"/>
      <name val="Calibri"/>
      <family val="2"/>
      <scheme val="minor"/>
    </font>
    <font>
      <b/>
      <sz val="11"/>
      <color theme="1"/>
      <name val="Calibri"/>
      <family val="2"/>
      <scheme val="minor"/>
    </font>
    <font>
      <b/>
      <sz val="14"/>
      <color theme="0"/>
      <name val="Calibri"/>
      <family val="2"/>
      <scheme val="minor"/>
    </font>
    <font>
      <b/>
      <sz val="10"/>
      <color rgb="FF242424"/>
      <name val="Calibri"/>
      <family val="2"/>
    </font>
    <font>
      <sz val="10"/>
      <color rgb="FF242424"/>
      <name val="Calibri"/>
      <family val="2"/>
    </font>
    <font>
      <sz val="11"/>
      <color rgb="FF9C0006"/>
      <name val="Calibri"/>
      <family val="2"/>
      <scheme val="minor"/>
    </font>
    <font>
      <sz val="10"/>
      <color rgb="FF9C0006"/>
      <name val="Calibri"/>
      <family val="2"/>
      <scheme val="minor"/>
    </font>
    <font>
      <i/>
      <sz val="12"/>
      <color theme="1"/>
      <name val="Calibri"/>
      <family val="2"/>
      <scheme val="minor"/>
    </font>
    <font>
      <sz val="10"/>
      <color theme="0"/>
      <name val="Calibri"/>
      <family val="2"/>
      <scheme val="minor"/>
    </font>
    <font>
      <sz val="10"/>
      <color rgb="FFFF0000"/>
      <name val="Calibri"/>
      <family val="2"/>
      <scheme val="minor"/>
    </font>
    <font>
      <b/>
      <sz val="11"/>
      <color rgb="FFFF0000"/>
      <name val="Calibri"/>
      <family val="2"/>
      <scheme val="minor"/>
    </font>
    <font>
      <sz val="10"/>
      <color rgb="FF000000"/>
      <name val="Calibri"/>
      <family val="2"/>
      <scheme val="minor"/>
    </font>
    <font>
      <sz val="12"/>
      <color theme="1" tint="0.499984740745262"/>
      <name val="Calibri"/>
      <family val="2"/>
      <scheme val="minor"/>
    </font>
    <font>
      <b/>
      <sz val="16"/>
      <color rgb="FF000000"/>
      <name val="Calibri"/>
      <family val="2"/>
      <scheme val="minor"/>
    </font>
    <font>
      <b/>
      <sz val="16"/>
      <color rgb="FF2731F5"/>
      <name val="Calibri"/>
      <family val="2"/>
      <scheme val="minor"/>
    </font>
    <font>
      <b/>
      <sz val="16"/>
      <color rgb="FF4472C4"/>
      <name val="Calibri"/>
      <family val="2"/>
      <scheme val="minor"/>
    </font>
    <font>
      <sz val="14"/>
      <color rgb="FF454554"/>
      <name val="Arial"/>
      <family val="2"/>
    </font>
    <font>
      <b/>
      <sz val="12"/>
      <color theme="4"/>
      <name val="Calibri"/>
      <family val="2"/>
      <scheme val="minor"/>
    </font>
    <font>
      <b/>
      <sz val="11"/>
      <color rgb="FFFFFF00"/>
      <name val="Calibri"/>
      <family val="2"/>
      <scheme val="minor"/>
    </font>
    <font>
      <b/>
      <sz val="16"/>
      <color rgb="FFFFFF00"/>
      <name val="Calibri"/>
      <family val="2"/>
      <scheme val="minor"/>
    </font>
    <font>
      <b/>
      <sz val="10"/>
      <color rgb="FFFFFF00"/>
      <name val="Calibri"/>
      <family val="2"/>
      <scheme val="minor"/>
    </font>
    <font>
      <b/>
      <i/>
      <sz val="9"/>
      <color theme="1" tint="0.499984740745262"/>
      <name val="Calibri"/>
      <family val="2"/>
      <scheme val="minor"/>
    </font>
    <font>
      <sz val="8"/>
      <color theme="1"/>
      <name val="Calibri"/>
      <family val="2"/>
      <scheme val="minor"/>
    </font>
    <font>
      <sz val="10"/>
      <color theme="0" tint="-0.499984740745262"/>
      <name val="Calibri"/>
      <family val="2"/>
      <scheme val="minor"/>
    </font>
    <font>
      <b/>
      <sz val="10"/>
      <color rgb="FF000000"/>
      <name val="Calibri"/>
      <family val="2"/>
      <scheme val="minor"/>
    </font>
    <font>
      <i/>
      <sz val="14"/>
      <color theme="1"/>
      <name val="Calibri"/>
      <family val="2"/>
      <scheme val="minor"/>
    </font>
    <font>
      <u/>
      <sz val="16"/>
      <color theme="10"/>
      <name val="Calibri"/>
      <family val="2"/>
      <scheme val="minor"/>
    </font>
    <font>
      <b/>
      <sz val="10"/>
      <color theme="1" tint="0.499984740745262"/>
      <name val="Calibri"/>
      <family val="2"/>
      <scheme val="minor"/>
    </font>
    <font>
      <b/>
      <sz val="18"/>
      <color rgb="FF000000"/>
      <name val="Calibri"/>
      <family val="2"/>
      <scheme val="minor"/>
    </font>
    <font>
      <sz val="10"/>
      <color theme="10"/>
      <name val="Calibri"/>
      <family val="2"/>
      <scheme val="minor"/>
    </font>
    <font>
      <i/>
      <sz val="11"/>
      <color rgb="FF808080"/>
      <name val="Calibri"/>
      <family val="2"/>
      <scheme val="minor"/>
    </font>
    <font>
      <i/>
      <sz val="11"/>
      <color theme="1" tint="0.499984740745262"/>
      <name val="Calibri"/>
      <family val="2"/>
      <scheme val="minor"/>
    </font>
    <font>
      <b/>
      <sz val="11"/>
      <color theme="0"/>
      <name val="Calibri"/>
      <family val="2"/>
      <scheme val="minor"/>
    </font>
  </fonts>
  <fills count="41">
    <fill>
      <patternFill patternType="none"/>
    </fill>
    <fill>
      <patternFill patternType="gray125"/>
    </fill>
    <fill>
      <patternFill patternType="solid">
        <fgColor theme="5"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BF00"/>
        <bgColor indexed="64"/>
      </patternFill>
    </fill>
    <fill>
      <patternFill patternType="solid">
        <fgColor rgb="FFC00000"/>
        <bgColor indexed="64"/>
      </patternFill>
    </fill>
    <fill>
      <patternFill patternType="solid">
        <fgColor rgb="FF92D093"/>
        <bgColor indexed="64"/>
      </patternFill>
    </fill>
    <fill>
      <patternFill patternType="solid">
        <fgColor theme="1" tint="0.499984740745262"/>
        <bgColor indexed="64"/>
      </patternFill>
    </fill>
    <fill>
      <patternFill patternType="solid">
        <fgColor indexed="1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rgb="FF00B0F0"/>
        <bgColor indexed="64"/>
      </patternFill>
    </fill>
    <fill>
      <patternFill patternType="solid">
        <fgColor rgb="FF00B050"/>
        <bgColor indexed="64"/>
      </patternFill>
    </fill>
    <fill>
      <patternFill patternType="solid">
        <fgColor theme="4" tint="0.79998168889431442"/>
        <bgColor indexed="65"/>
      </patternFill>
    </fill>
    <fill>
      <patternFill patternType="solid">
        <fgColor rgb="FFFFC7CE"/>
      </patternFill>
    </fill>
    <fill>
      <patternFill patternType="solid">
        <fgColor theme="7" tint="0.59999389629810485"/>
        <bgColor indexed="65"/>
      </patternFill>
    </fill>
    <fill>
      <patternFill patternType="solid">
        <fgColor theme="9" tint="0.39997558519241921"/>
        <bgColor indexed="65"/>
      </patternFill>
    </fill>
    <fill>
      <patternFill patternType="solid">
        <fgColor theme="7" tint="0.59999389629810485"/>
        <bgColor indexed="64"/>
      </patternFill>
    </fill>
    <fill>
      <patternFill patternType="solid">
        <fgColor theme="6"/>
        <bgColor indexed="64"/>
      </patternFill>
    </fill>
    <fill>
      <patternFill patternType="solid">
        <fgColor rgb="FFFFBF8A"/>
        <bgColor indexed="64"/>
      </patternFill>
    </fill>
    <fill>
      <patternFill patternType="solid">
        <fgColor theme="7"/>
        <bgColor indexed="64"/>
      </patternFill>
    </fill>
    <fill>
      <patternFill patternType="solid">
        <fgColor indexed="9"/>
        <bgColor indexed="64"/>
      </patternFill>
    </fill>
    <fill>
      <patternFill patternType="solid">
        <fgColor indexed="55"/>
        <bgColor indexed="64"/>
      </patternFill>
    </fill>
    <fill>
      <patternFill patternType="solid">
        <fgColor indexed="23"/>
        <bgColor indexed="64"/>
      </patternFill>
    </fill>
    <fill>
      <patternFill patternType="solid">
        <fgColor indexed="51"/>
        <bgColor indexed="64"/>
      </patternFill>
    </fill>
    <fill>
      <patternFill patternType="solid">
        <fgColor theme="6" tint="0.79998168889431442"/>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0000"/>
        <bgColor indexed="64"/>
      </patternFill>
    </fill>
    <fill>
      <patternFill patternType="solid">
        <fgColor theme="9"/>
        <bgColor indexed="64"/>
      </patternFill>
    </fill>
  </fills>
  <borders count="77">
    <border>
      <left/>
      <right/>
      <top/>
      <bottom/>
      <diagonal/>
    </border>
    <border>
      <left style="thin">
        <color rgb="FF000000"/>
      </left>
      <right/>
      <top/>
      <bottom/>
      <diagonal/>
    </border>
    <border>
      <left style="thin">
        <color rgb="FF000000"/>
      </left>
      <right style="thin">
        <color rgb="FF000000"/>
      </right>
      <top/>
      <bottom/>
      <diagonal/>
    </border>
    <border>
      <left style="thin">
        <color indexed="64"/>
      </left>
      <right style="thin">
        <color indexed="64"/>
      </right>
      <top style="thin">
        <color indexed="64"/>
      </top>
      <bottom style="thin">
        <color indexed="64"/>
      </bottom>
      <diagonal/>
    </border>
    <border>
      <left style="thin">
        <color rgb="FF000000"/>
      </left>
      <right style="thin">
        <color indexed="64"/>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indexed="64"/>
      </right>
      <top style="thin">
        <color rgb="FF000000"/>
      </top>
      <bottom/>
      <diagonal/>
    </border>
    <border>
      <left style="dotted">
        <color rgb="FF000000"/>
      </left>
      <right style="dotted">
        <color rgb="FF000000"/>
      </right>
      <top style="medium">
        <color indexed="64"/>
      </top>
      <bottom style="dotted">
        <color rgb="FF000000"/>
      </bottom>
      <diagonal/>
    </border>
    <border>
      <left style="dotted">
        <color rgb="FF000000"/>
      </left>
      <right style="dotted">
        <color rgb="FF000000"/>
      </right>
      <top style="dotted">
        <color rgb="FF000000"/>
      </top>
      <bottom style="thin">
        <color indexed="64"/>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right style="thin">
        <color indexed="64"/>
      </right>
      <top style="thin">
        <color rgb="FF000000"/>
      </top>
      <bottom/>
      <diagonal/>
    </border>
    <border>
      <left style="thin">
        <color rgb="FF000000"/>
      </left>
      <right style="thin">
        <color rgb="FF000000"/>
      </right>
      <top/>
      <bottom style="thin">
        <color rgb="FF002060"/>
      </bottom>
      <diagonal/>
    </border>
    <border>
      <left/>
      <right/>
      <top/>
      <bottom style="thin">
        <color rgb="FF002060"/>
      </bottom>
      <diagonal/>
    </border>
    <border>
      <left/>
      <right style="thick">
        <color rgb="FF000000"/>
      </right>
      <top/>
      <bottom/>
      <diagonal/>
    </border>
    <border>
      <left/>
      <right style="thick">
        <color rgb="FF000000"/>
      </right>
      <top/>
      <bottom style="thin">
        <color rgb="FF000000"/>
      </bottom>
      <diagonal/>
    </border>
    <border>
      <left/>
      <right style="thick">
        <color rgb="FF000000"/>
      </right>
      <top style="thin">
        <color rgb="FF000000"/>
      </top>
      <bottom/>
      <diagonal/>
    </border>
    <border>
      <left/>
      <right/>
      <top style="dashed">
        <color rgb="FF000000"/>
      </top>
      <bottom/>
      <diagonal/>
    </border>
    <border>
      <left/>
      <right/>
      <top/>
      <bottom style="dashed">
        <color rgb="FF000000"/>
      </bottom>
      <diagonal/>
    </border>
    <border>
      <left style="dashed">
        <color rgb="FF000000"/>
      </left>
      <right/>
      <top style="dashed">
        <color rgb="FF000000"/>
      </top>
      <bottom/>
      <diagonal/>
    </border>
    <border>
      <left style="dashed">
        <color rgb="FF000000"/>
      </left>
      <right/>
      <top/>
      <bottom/>
      <diagonal/>
    </border>
    <border>
      <left style="dashed">
        <color rgb="FF000000"/>
      </left>
      <right/>
      <top/>
      <bottom style="dashed">
        <color rgb="FF000000"/>
      </bottom>
      <diagonal/>
    </border>
    <border>
      <left/>
      <right style="dashed">
        <color rgb="FF000000"/>
      </right>
      <top style="dashed">
        <color rgb="FF000000"/>
      </top>
      <bottom/>
      <diagonal/>
    </border>
    <border>
      <left/>
      <right style="dashed">
        <color rgb="FF000000"/>
      </right>
      <top/>
      <bottom/>
      <diagonal/>
    </border>
    <border>
      <left/>
      <right style="dashed">
        <color rgb="FF000000"/>
      </right>
      <top/>
      <bottom style="dashed">
        <color rgb="FF000000"/>
      </bottom>
      <diagonal/>
    </border>
    <border>
      <left style="thin">
        <color rgb="FF000000"/>
      </left>
      <right style="thick">
        <color rgb="FF000000"/>
      </right>
      <top style="thin">
        <color rgb="FF000000"/>
      </top>
      <bottom style="thin">
        <color rgb="FF000000"/>
      </bottom>
      <diagonal/>
    </border>
    <border>
      <left style="thin">
        <color rgb="FF000000"/>
      </left>
      <right style="dotted">
        <color rgb="FF000000"/>
      </right>
      <top style="medium">
        <color indexed="64"/>
      </top>
      <bottom style="dotted">
        <color rgb="FF000000"/>
      </bottom>
      <diagonal/>
    </border>
    <border>
      <left style="thin">
        <color rgb="FF000000"/>
      </left>
      <right style="dotted">
        <color rgb="FF000000"/>
      </right>
      <top style="dotted">
        <color rgb="FF000000"/>
      </top>
      <bottom style="thin">
        <color indexed="64"/>
      </bottom>
      <diagonal/>
    </border>
    <border>
      <left style="dotted">
        <color rgb="FF000000"/>
      </left>
      <right style="dotted">
        <color rgb="FF000000"/>
      </right>
      <top style="medium">
        <color indexed="64"/>
      </top>
      <bottom/>
      <diagonal/>
    </border>
    <border>
      <left style="dotted">
        <color rgb="FF000000"/>
      </left>
      <right style="dotted">
        <color rgb="FF000000"/>
      </right>
      <top/>
      <bottom style="thin">
        <color indexed="64"/>
      </bottom>
      <diagonal/>
    </border>
    <border>
      <left style="dotted">
        <color rgb="FF000000"/>
      </left>
      <right style="thin">
        <color indexed="64"/>
      </right>
      <top style="medium">
        <color indexed="64"/>
      </top>
      <bottom/>
      <diagonal/>
    </border>
    <border>
      <left style="dotted">
        <color rgb="FF000000"/>
      </left>
      <right style="thin">
        <color indexed="64"/>
      </right>
      <top/>
      <bottom style="thin">
        <color indexed="64"/>
      </bottom>
      <diagonal/>
    </border>
    <border>
      <left/>
      <right style="medium">
        <color rgb="FF000000"/>
      </right>
      <top/>
      <bottom/>
      <diagonal/>
    </border>
    <border>
      <left/>
      <right style="medium">
        <color rgb="FF000000"/>
      </right>
      <top/>
      <bottom style="thin">
        <color indexed="64"/>
      </bottom>
      <diagonal/>
    </border>
    <border>
      <left/>
      <right style="medium">
        <color rgb="FF000000"/>
      </right>
      <top style="thin">
        <color indexed="64"/>
      </top>
      <bottom style="thin">
        <color indexed="64"/>
      </bottom>
      <diagonal/>
    </border>
    <border>
      <left style="thin">
        <color rgb="FF000000"/>
      </left>
      <right style="medium">
        <color rgb="FF000000"/>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thin">
        <color rgb="FF000000"/>
      </left>
      <right style="thin">
        <color indexed="64"/>
      </right>
      <top/>
      <bottom style="thin">
        <color rgb="FF000000"/>
      </bottom>
      <diagonal/>
    </border>
    <border>
      <left style="thin">
        <color rgb="FF000000"/>
      </left>
      <right style="thin">
        <color rgb="FF000000"/>
      </right>
      <top style="thin">
        <color rgb="FF000000"/>
      </top>
      <bottom style="thin">
        <color indexed="64"/>
      </bottom>
      <diagonal/>
    </border>
    <border>
      <left/>
      <right/>
      <top style="mediumDashed">
        <color auto="1"/>
      </top>
      <bottom/>
      <diagonal/>
    </border>
    <border>
      <left style="mediumDashed">
        <color auto="1"/>
      </left>
      <right/>
      <top style="mediumDashed">
        <color auto="1"/>
      </top>
      <bottom/>
      <diagonal/>
    </border>
    <border>
      <left/>
      <right style="mediumDashed">
        <color auto="1"/>
      </right>
      <top style="mediumDashed">
        <color auto="1"/>
      </top>
      <bottom/>
      <diagonal/>
    </border>
    <border>
      <left style="dotted">
        <color auto="1"/>
      </left>
      <right/>
      <top/>
      <bottom style="thin">
        <color rgb="FF000000"/>
      </bottom>
      <diagonal/>
    </border>
    <border>
      <left/>
      <right style="thin">
        <color rgb="FF000000"/>
      </right>
      <top style="thin">
        <color indexed="64"/>
      </top>
      <bottom/>
      <diagonal/>
    </border>
    <border>
      <left style="thin">
        <color rgb="FF000000"/>
      </left>
      <right style="medium">
        <color rgb="FF000000"/>
      </right>
      <top style="thin">
        <color rgb="FF000000"/>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right style="medium">
        <color rgb="FF000000"/>
      </right>
      <top style="thin">
        <color rgb="FF000000"/>
      </top>
      <bottom/>
      <diagonal/>
    </border>
    <border>
      <left/>
      <right style="medium">
        <color rgb="FF000000"/>
      </right>
      <top/>
      <bottom style="thin">
        <color rgb="FF000000"/>
      </bottom>
      <diagonal/>
    </border>
    <border>
      <left/>
      <right style="thin">
        <color rgb="FF000000"/>
      </right>
      <top style="thin">
        <color indexed="64"/>
      </top>
      <bottom style="thin">
        <color indexed="64"/>
      </bottom>
      <diagonal/>
    </border>
    <border>
      <left style="dotted">
        <color auto="1"/>
      </left>
      <right style="thin">
        <color indexed="64"/>
      </right>
      <top/>
      <bottom style="thin">
        <color rgb="FF000000"/>
      </bottom>
      <diagonal/>
    </border>
  </borders>
  <cellStyleXfs count="7">
    <xf numFmtId="0" fontId="0" fillId="0" borderId="0"/>
    <xf numFmtId="0" fontId="7" fillId="0" borderId="0"/>
    <xf numFmtId="0" fontId="11" fillId="0" borderId="0" applyNumberFormat="0" applyFill="0" applyBorder="0" applyAlignment="0" applyProtection="0"/>
    <xf numFmtId="0" fontId="2" fillId="22" borderId="0" applyNumberFormat="0" applyBorder="0" applyAlignment="0" applyProtection="0"/>
    <xf numFmtId="0" fontId="38"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cellStyleXfs>
  <cellXfs count="490">
    <xf numFmtId="0" fontId="0" fillId="0" borderId="0" xfId="0"/>
    <xf numFmtId="0" fontId="0" fillId="0" borderId="0" xfId="0" applyAlignment="1">
      <alignment horizontal="center"/>
    </xf>
    <xf numFmtId="0" fontId="3" fillId="0" borderId="0" xfId="0" applyFont="1"/>
    <xf numFmtId="0" fontId="0" fillId="3" borderId="3" xfId="0" applyFill="1" applyBorder="1"/>
    <xf numFmtId="0" fontId="0" fillId="0" borderId="3" xfId="0" applyBorder="1"/>
    <xf numFmtId="0" fontId="0" fillId="6" borderId="3" xfId="0" applyFill="1" applyBorder="1"/>
    <xf numFmtId="0" fontId="0" fillId="7" borderId="3" xfId="0" applyFill="1" applyBorder="1"/>
    <xf numFmtId="0" fontId="0" fillId="8" borderId="3" xfId="0" applyFill="1" applyBorder="1" applyAlignment="1">
      <alignment horizontal="center"/>
    </xf>
    <xf numFmtId="10" fontId="13" fillId="0" borderId="3" xfId="0" applyNumberFormat="1" applyFont="1" applyBorder="1" applyAlignment="1">
      <alignment horizontal="center"/>
    </xf>
    <xf numFmtId="2" fontId="14" fillId="0" borderId="3" xfId="0" applyNumberFormat="1" applyFont="1" applyBorder="1" applyAlignment="1">
      <alignment horizontal="center"/>
    </xf>
    <xf numFmtId="0" fontId="14" fillId="0" borderId="3" xfId="0" applyFont="1" applyBorder="1" applyAlignment="1">
      <alignment horizontal="center"/>
    </xf>
    <xf numFmtId="10" fontId="13" fillId="10" borderId="3" xfId="0" applyNumberFormat="1" applyFont="1" applyFill="1" applyBorder="1" applyAlignment="1">
      <alignment horizontal="center"/>
    </xf>
    <xf numFmtId="0" fontId="14" fillId="10" borderId="3" xfId="0" applyFont="1" applyFill="1" applyBorder="1" applyAlignment="1">
      <alignment horizontal="center"/>
    </xf>
    <xf numFmtId="0" fontId="0" fillId="0" borderId="8" xfId="0" applyBorder="1" applyAlignment="1">
      <alignment vertical="center"/>
    </xf>
    <xf numFmtId="0" fontId="0" fillId="0" borderId="16" xfId="0" applyBorder="1" applyAlignment="1">
      <alignment vertical="center"/>
    </xf>
    <xf numFmtId="0" fontId="0" fillId="0" borderId="0" xfId="0" applyAlignment="1">
      <alignment vertical="center"/>
    </xf>
    <xf numFmtId="0" fontId="0" fillId="0" borderId="5" xfId="0" applyBorder="1"/>
    <xf numFmtId="15" fontId="0" fillId="0" borderId="5" xfId="0" applyNumberFormat="1" applyBorder="1"/>
    <xf numFmtId="22" fontId="0" fillId="0" borderId="5" xfId="0" applyNumberFormat="1" applyBorder="1"/>
    <xf numFmtId="0" fontId="0" fillId="0" borderId="10" xfId="0" applyBorder="1"/>
    <xf numFmtId="0" fontId="0" fillId="0" borderId="11" xfId="0" applyBorder="1"/>
    <xf numFmtId="0" fontId="0" fillId="0" borderId="12" xfId="0" applyBorder="1"/>
    <xf numFmtId="0" fontId="0" fillId="0" borderId="16" xfId="0" applyBorder="1"/>
    <xf numFmtId="0" fontId="4" fillId="0" borderId="9" xfId="0" applyFont="1" applyBorder="1" applyAlignment="1">
      <alignment horizontal="left"/>
    </xf>
    <xf numFmtId="0" fontId="20" fillId="0" borderId="0" xfId="0" applyFont="1"/>
    <xf numFmtId="0" fontId="17" fillId="0" borderId="0" xfId="0" applyFont="1" applyAlignment="1">
      <alignment horizontal="left"/>
    </xf>
    <xf numFmtId="0" fontId="3" fillId="12" borderId="6" xfId="0" applyFont="1" applyFill="1" applyBorder="1" applyAlignment="1">
      <alignment vertical="center"/>
    </xf>
    <xf numFmtId="0" fontId="3" fillId="12" borderId="28" xfId="0" applyFont="1" applyFill="1" applyBorder="1" applyAlignment="1">
      <alignment vertical="center"/>
    </xf>
    <xf numFmtId="0" fontId="3" fillId="12" borderId="16" xfId="0" applyFont="1" applyFill="1" applyBorder="1" applyAlignment="1">
      <alignment vertical="center"/>
    </xf>
    <xf numFmtId="0" fontId="0" fillId="14" borderId="0" xfId="0" applyFill="1"/>
    <xf numFmtId="0" fontId="0" fillId="14" borderId="0" xfId="0" applyFill="1" applyAlignment="1">
      <alignment horizontal="center"/>
    </xf>
    <xf numFmtId="0" fontId="3" fillId="12" borderId="10" xfId="0" applyFont="1" applyFill="1" applyBorder="1" applyAlignment="1">
      <alignment horizontal="center" vertical="center"/>
    </xf>
    <xf numFmtId="0" fontId="0" fillId="0" borderId="0" xfId="0" applyAlignment="1">
      <alignment wrapText="1"/>
    </xf>
    <xf numFmtId="0" fontId="0" fillId="0" borderId="1" xfId="0" applyBorder="1" applyAlignment="1">
      <alignment wrapText="1"/>
    </xf>
    <xf numFmtId="0" fontId="0" fillId="0" borderId="9" xfId="0" applyBorder="1"/>
    <xf numFmtId="0" fontId="0" fillId="0" borderId="8" xfId="0" applyBorder="1"/>
    <xf numFmtId="0" fontId="0" fillId="0" borderId="26" xfId="0" applyBorder="1" applyAlignment="1">
      <alignment horizontal="center"/>
    </xf>
    <xf numFmtId="0" fontId="0" fillId="0" borderId="9" xfId="0" applyBorder="1" applyAlignment="1">
      <alignment vertical="center"/>
    </xf>
    <xf numFmtId="0" fontId="4" fillId="0" borderId="0" xfId="0" applyFont="1"/>
    <xf numFmtId="0" fontId="0" fillId="0" borderId="9" xfId="0" applyBorder="1" applyAlignment="1">
      <alignment horizontal="left"/>
    </xf>
    <xf numFmtId="0" fontId="3" fillId="13" borderId="14" xfId="0" applyFont="1" applyFill="1" applyBorder="1"/>
    <xf numFmtId="0" fontId="0" fillId="0" borderId="15" xfId="0" applyBorder="1"/>
    <xf numFmtId="0" fontId="17" fillId="0" borderId="9" xfId="0" applyFont="1" applyBorder="1" applyAlignment="1">
      <alignment horizontal="left"/>
    </xf>
    <xf numFmtId="0" fontId="0" fillId="0" borderId="10" xfId="0" applyBorder="1" applyAlignment="1">
      <alignment horizontal="left"/>
    </xf>
    <xf numFmtId="0" fontId="3" fillId="13" borderId="15" xfId="0" applyFont="1" applyFill="1" applyBorder="1"/>
    <xf numFmtId="0" fontId="3" fillId="13" borderId="13" xfId="0" applyFont="1" applyFill="1" applyBorder="1"/>
    <xf numFmtId="0" fontId="0" fillId="0" borderId="14" xfId="0" applyBorder="1"/>
    <xf numFmtId="0" fontId="4" fillId="0" borderId="5" xfId="0" applyFont="1" applyBorder="1" applyAlignment="1">
      <alignment horizontal="left"/>
    </xf>
    <xf numFmtId="0" fontId="4" fillId="0" borderId="5" xfId="0" applyFont="1" applyBorder="1" applyAlignment="1">
      <alignment vertical="center"/>
    </xf>
    <xf numFmtId="0" fontId="4" fillId="0" borderId="12" xfId="0" applyFont="1" applyBorder="1" applyAlignment="1">
      <alignment horizontal="left"/>
    </xf>
    <xf numFmtId="0" fontId="23" fillId="0" borderId="9" xfId="0" applyFont="1" applyBorder="1"/>
    <xf numFmtId="0" fontId="23" fillId="0" borderId="8" xfId="0" applyFont="1" applyBorder="1"/>
    <xf numFmtId="0" fontId="17" fillId="0" borderId="8" xfId="0" applyFont="1" applyBorder="1" applyAlignment="1">
      <alignment horizontal="left"/>
    </xf>
    <xf numFmtId="0" fontId="28" fillId="14" borderId="0" xfId="0" applyFont="1" applyFill="1" applyAlignment="1">
      <alignment horizontal="right"/>
    </xf>
    <xf numFmtId="9" fontId="29" fillId="14" borderId="0" xfId="0" applyNumberFormat="1" applyFont="1" applyFill="1"/>
    <xf numFmtId="9" fontId="27" fillId="14" borderId="0" xfId="0" applyNumberFormat="1" applyFont="1" applyFill="1"/>
    <xf numFmtId="0" fontId="30" fillId="14" borderId="0" xfId="0" applyFont="1" applyFill="1"/>
    <xf numFmtId="9" fontId="30" fillId="14" borderId="0" xfId="0" applyNumberFormat="1" applyFont="1" applyFill="1"/>
    <xf numFmtId="0" fontId="0" fillId="0" borderId="37" xfId="0" applyBorder="1"/>
    <xf numFmtId="0" fontId="8" fillId="0" borderId="19" xfId="0" applyFont="1" applyBorder="1" applyAlignment="1">
      <alignment horizontal="center" wrapText="1"/>
    </xf>
    <xf numFmtId="0" fontId="0" fillId="0" borderId="8" xfId="0" applyBorder="1" applyAlignment="1">
      <alignment horizontal="left"/>
    </xf>
    <xf numFmtId="0" fontId="3" fillId="13" borderId="31" xfId="0" applyFont="1" applyFill="1" applyBorder="1" applyAlignment="1">
      <alignment horizontal="center" vertical="center" wrapText="1"/>
    </xf>
    <xf numFmtId="0" fontId="0" fillId="0" borderId="38" xfId="0" applyBorder="1"/>
    <xf numFmtId="0" fontId="0" fillId="0" borderId="39" xfId="0" applyBorder="1" applyAlignment="1">
      <alignment horizontal="center" wrapText="1"/>
    </xf>
    <xf numFmtId="0" fontId="3" fillId="13" borderId="24" xfId="0" applyFont="1" applyFill="1" applyBorder="1" applyAlignment="1">
      <alignment wrapText="1"/>
    </xf>
    <xf numFmtId="0" fontId="3" fillId="13" borderId="23" xfId="0" applyFont="1" applyFill="1" applyBorder="1" applyAlignment="1">
      <alignment wrapText="1"/>
    </xf>
    <xf numFmtId="0" fontId="0" fillId="0" borderId="20" xfId="0" applyBorder="1" applyAlignment="1">
      <alignment wrapText="1"/>
    </xf>
    <xf numFmtId="0" fontId="3" fillId="12" borderId="18" xfId="0" applyFont="1" applyFill="1" applyBorder="1" applyAlignment="1">
      <alignment horizontal="center" vertical="center" wrapText="1"/>
    </xf>
    <xf numFmtId="0" fontId="31" fillId="14" borderId="0" xfId="0" applyFont="1" applyFill="1" applyAlignment="1">
      <alignment horizontal="center"/>
    </xf>
    <xf numFmtId="0" fontId="18" fillId="14" borderId="0" xfId="0" applyFont="1" applyFill="1" applyAlignment="1">
      <alignment horizontal="right"/>
    </xf>
    <xf numFmtId="0" fontId="18" fillId="14" borderId="0" xfId="0" applyFont="1" applyFill="1"/>
    <xf numFmtId="0" fontId="31" fillId="14" borderId="0" xfId="0" applyFont="1" applyFill="1" applyAlignment="1">
      <alignment horizontal="right"/>
    </xf>
    <xf numFmtId="9" fontId="32" fillId="14" borderId="0" xfId="0" applyNumberFormat="1" applyFont="1" applyFill="1"/>
    <xf numFmtId="0" fontId="30" fillId="0" borderId="0" xfId="0" applyFont="1" applyAlignment="1">
      <alignment horizontal="center" vertical="center"/>
    </xf>
    <xf numFmtId="0" fontId="0" fillId="0" borderId="21" xfId="0" applyBorder="1" applyAlignment="1">
      <alignment horizontal="center" wrapText="1"/>
    </xf>
    <xf numFmtId="0" fontId="0" fillId="0" borderId="21" xfId="0" applyBorder="1" applyAlignment="1">
      <alignment horizontal="center"/>
    </xf>
    <xf numFmtId="1" fontId="35" fillId="20" borderId="0" xfId="0" applyNumberFormat="1" applyFont="1" applyFill="1" applyAlignment="1">
      <alignment horizontal="center"/>
    </xf>
    <xf numFmtId="0" fontId="4" fillId="0" borderId="17" xfId="0" applyFont="1" applyBorder="1"/>
    <xf numFmtId="0" fontId="4" fillId="0" borderId="9" xfId="0" applyFont="1" applyBorder="1"/>
    <xf numFmtId="0" fontId="15" fillId="0" borderId="9" xfId="0" applyFont="1" applyBorder="1" applyAlignment="1">
      <alignment horizontal="left"/>
    </xf>
    <xf numFmtId="0" fontId="3" fillId="0" borderId="0" xfId="0" applyFont="1" applyAlignment="1">
      <alignment horizontal="center"/>
    </xf>
    <xf numFmtId="1" fontId="35" fillId="21" borderId="0" xfId="0" applyNumberFormat="1" applyFont="1" applyFill="1"/>
    <xf numFmtId="1" fontId="35" fillId="21" borderId="0" xfId="0" applyNumberFormat="1" applyFont="1" applyFill="1" applyAlignment="1">
      <alignment horizontal="center"/>
    </xf>
    <xf numFmtId="0" fontId="35" fillId="21" borderId="0" xfId="0" applyFont="1" applyFill="1" applyAlignment="1">
      <alignment horizontal="center"/>
    </xf>
    <xf numFmtId="1" fontId="10" fillId="26" borderId="0" xfId="0" applyNumberFormat="1" applyFont="1" applyFill="1" applyAlignment="1">
      <alignment horizontal="center"/>
    </xf>
    <xf numFmtId="0" fontId="39" fillId="23" borderId="0" xfId="4" applyFont="1" applyAlignment="1">
      <alignment horizontal="right"/>
    </xf>
    <xf numFmtId="9" fontId="39" fillId="23" borderId="0" xfId="4" applyNumberFormat="1" applyFont="1"/>
    <xf numFmtId="0" fontId="30" fillId="22" borderId="0" xfId="3" applyFont="1" applyAlignment="1">
      <alignment horizontal="right"/>
    </xf>
    <xf numFmtId="1" fontId="30" fillId="22" borderId="0" xfId="3" applyNumberFormat="1" applyFont="1"/>
    <xf numFmtId="0" fontId="30" fillId="25" borderId="0" xfId="6" applyFont="1" applyAlignment="1">
      <alignment horizontal="right"/>
    </xf>
    <xf numFmtId="1" fontId="30" fillId="25" borderId="0" xfId="6" applyNumberFormat="1" applyFont="1"/>
    <xf numFmtId="0" fontId="30" fillId="24" borderId="0" xfId="5" applyFont="1" applyAlignment="1">
      <alignment horizontal="right"/>
    </xf>
    <xf numFmtId="1" fontId="30" fillId="24" borderId="0" xfId="5" applyNumberFormat="1" applyFont="1"/>
    <xf numFmtId="0" fontId="1" fillId="0" borderId="0" xfId="0" applyFont="1"/>
    <xf numFmtId="0" fontId="1" fillId="0" borderId="0" xfId="0" applyFont="1" applyAlignment="1">
      <alignment horizontal="center"/>
    </xf>
    <xf numFmtId="0" fontId="30" fillId="14" borderId="0" xfId="3" applyFont="1" applyFill="1" applyAlignment="1">
      <alignment horizontal="right"/>
    </xf>
    <xf numFmtId="1" fontId="31" fillId="22" borderId="0" xfId="3" applyNumberFormat="1" applyFont="1"/>
    <xf numFmtId="0" fontId="31" fillId="22" borderId="0" xfId="3" applyFont="1" applyAlignment="1">
      <alignment horizontal="right"/>
    </xf>
    <xf numFmtId="0" fontId="29" fillId="14" borderId="0" xfId="0" applyFont="1" applyFill="1"/>
    <xf numFmtId="0" fontId="40" fillId="14" borderId="0" xfId="0" applyFont="1" applyFill="1"/>
    <xf numFmtId="9" fontId="3" fillId="14" borderId="0" xfId="0" applyNumberFormat="1" applyFont="1" applyFill="1" applyAlignment="1">
      <alignment horizontal="left"/>
    </xf>
    <xf numFmtId="0" fontId="31" fillId="14" borderId="19" xfId="0" applyFont="1" applyFill="1" applyBorder="1" applyAlignment="1">
      <alignment horizontal="center"/>
    </xf>
    <xf numFmtId="1" fontId="30" fillId="14" borderId="0" xfId="0" applyNumberFormat="1" applyFont="1" applyFill="1" applyAlignment="1">
      <alignment horizontal="center"/>
    </xf>
    <xf numFmtId="1" fontId="30" fillId="14" borderId="18" xfId="0" applyNumberFormat="1" applyFont="1" applyFill="1" applyBorder="1" applyAlignment="1">
      <alignment horizontal="center"/>
    </xf>
    <xf numFmtId="0" fontId="31" fillId="19" borderId="27" xfId="0" applyFont="1" applyFill="1" applyBorder="1" applyAlignment="1">
      <alignment horizontal="center"/>
    </xf>
    <xf numFmtId="1" fontId="31" fillId="14" borderId="0" xfId="0" applyNumberFormat="1" applyFont="1" applyFill="1" applyAlignment="1">
      <alignment horizontal="center"/>
    </xf>
    <xf numFmtId="1" fontId="33" fillId="14" borderId="0" xfId="0" applyNumberFormat="1" applyFont="1" applyFill="1" applyAlignment="1">
      <alignment horizontal="center"/>
    </xf>
    <xf numFmtId="0" fontId="41" fillId="21" borderId="0" xfId="0" applyFont="1" applyFill="1" applyAlignment="1">
      <alignment horizontal="right"/>
    </xf>
    <xf numFmtId="0" fontId="41" fillId="20" borderId="0" xfId="0" applyFont="1" applyFill="1" applyAlignment="1">
      <alignment horizontal="right"/>
    </xf>
    <xf numFmtId="9" fontId="30" fillId="14" borderId="0" xfId="0" applyNumberFormat="1" applyFont="1" applyFill="1" applyAlignment="1">
      <alignment horizontal="right"/>
    </xf>
    <xf numFmtId="1" fontId="35" fillId="20" borderId="0" xfId="0" applyNumberFormat="1" applyFont="1" applyFill="1"/>
    <xf numFmtId="1" fontId="41" fillId="20" borderId="0" xfId="0" applyNumberFormat="1" applyFont="1" applyFill="1"/>
    <xf numFmtId="1" fontId="41" fillId="21" borderId="0" xfId="0" applyNumberFormat="1" applyFont="1" applyFill="1"/>
    <xf numFmtId="0" fontId="30" fillId="26" borderId="0" xfId="0" applyFont="1" applyFill="1" applyAlignment="1">
      <alignment horizontal="right"/>
    </xf>
    <xf numFmtId="1" fontId="30" fillId="26" borderId="0" xfId="0" applyNumberFormat="1" applyFont="1" applyFill="1"/>
    <xf numFmtId="1" fontId="10" fillId="26" borderId="0" xfId="0" applyNumberFormat="1" applyFont="1" applyFill="1"/>
    <xf numFmtId="0" fontId="31" fillId="14" borderId="0" xfId="3" applyFont="1" applyFill="1" applyAlignment="1">
      <alignment horizontal="right"/>
    </xf>
    <xf numFmtId="1" fontId="31" fillId="14" borderId="0" xfId="3" applyNumberFormat="1" applyFont="1" applyFill="1"/>
    <xf numFmtId="0" fontId="31" fillId="19" borderId="2" xfId="0" applyFont="1" applyFill="1" applyBorder="1"/>
    <xf numFmtId="0" fontId="45" fillId="0" borderId="8" xfId="0" applyFont="1" applyBorder="1"/>
    <xf numFmtId="0" fontId="45" fillId="0" borderId="9" xfId="0" applyFont="1" applyBorder="1" applyAlignment="1">
      <alignment horizontal="left"/>
    </xf>
    <xf numFmtId="0" fontId="45" fillId="0" borderId="5" xfId="0" applyFont="1" applyBorder="1" applyAlignment="1">
      <alignment horizontal="left"/>
    </xf>
    <xf numFmtId="0" fontId="45" fillId="0" borderId="0" xfId="0" applyFont="1"/>
    <xf numFmtId="0" fontId="4" fillId="0" borderId="19" xfId="2" applyFont="1" applyFill="1" applyBorder="1" applyAlignment="1">
      <alignment wrapText="1"/>
    </xf>
    <xf numFmtId="9" fontId="42" fillId="0" borderId="0" xfId="0" applyNumberFormat="1" applyFont="1"/>
    <xf numFmtId="9" fontId="30" fillId="0" borderId="0" xfId="0" applyNumberFormat="1" applyFont="1"/>
    <xf numFmtId="9" fontId="30" fillId="0" borderId="18" xfId="0" applyNumberFormat="1" applyFont="1" applyBorder="1"/>
    <xf numFmtId="9" fontId="30" fillId="0" borderId="21" xfId="0" applyNumberFormat="1" applyFont="1" applyBorder="1"/>
    <xf numFmtId="0" fontId="49" fillId="0" borderId="0" xfId="0" applyFont="1"/>
    <xf numFmtId="0" fontId="4" fillId="0" borderId="8" xfId="0" applyFont="1" applyBorder="1"/>
    <xf numFmtId="1" fontId="31" fillId="19" borderId="30" xfId="0" applyNumberFormat="1" applyFont="1" applyFill="1" applyBorder="1" applyAlignment="1">
      <alignment horizontal="center"/>
    </xf>
    <xf numFmtId="1" fontId="31" fillId="19" borderId="0" xfId="0" applyNumberFormat="1" applyFont="1" applyFill="1" applyAlignment="1">
      <alignment horizontal="center"/>
    </xf>
    <xf numFmtId="0" fontId="31" fillId="19" borderId="29" xfId="0" applyFont="1" applyFill="1" applyBorder="1" applyAlignment="1">
      <alignment horizontal="center"/>
    </xf>
    <xf numFmtId="1" fontId="31" fillId="19" borderId="20" xfId="0" applyNumberFormat="1" applyFont="1" applyFill="1" applyBorder="1" applyAlignment="1">
      <alignment horizontal="center"/>
    </xf>
    <xf numFmtId="1" fontId="31" fillId="19" borderId="21" xfId="0" applyNumberFormat="1" applyFont="1" applyFill="1" applyBorder="1" applyAlignment="1">
      <alignment horizontal="center"/>
    </xf>
    <xf numFmtId="1" fontId="30" fillId="14" borderId="21" xfId="0" applyNumberFormat="1" applyFont="1" applyFill="1" applyBorder="1" applyAlignment="1">
      <alignment horizontal="center"/>
    </xf>
    <xf numFmtId="1" fontId="30" fillId="14" borderId="22" xfId="0" applyNumberFormat="1" applyFont="1" applyFill="1" applyBorder="1" applyAlignment="1">
      <alignment horizontal="center"/>
    </xf>
    <xf numFmtId="9" fontId="51" fillId="27" borderId="27" xfId="0" applyNumberFormat="1" applyFont="1" applyFill="1" applyBorder="1" applyAlignment="1">
      <alignment horizontal="center"/>
    </xf>
    <xf numFmtId="9" fontId="51" fillId="27" borderId="2" xfId="0" applyNumberFormat="1" applyFont="1" applyFill="1" applyBorder="1" applyAlignment="1">
      <alignment horizontal="center"/>
    </xf>
    <xf numFmtId="0" fontId="30" fillId="14" borderId="0" xfId="0" applyFont="1" applyFill="1" applyAlignment="1">
      <alignment horizontal="right" vertical="center"/>
    </xf>
    <xf numFmtId="1" fontId="19" fillId="14" borderId="0" xfId="0" applyNumberFormat="1" applyFont="1" applyFill="1" applyAlignment="1">
      <alignment vertical="center"/>
    </xf>
    <xf numFmtId="9" fontId="30" fillId="14" borderId="0" xfId="0" applyNumberFormat="1" applyFont="1" applyFill="1" applyAlignment="1">
      <alignment horizontal="left" vertical="center"/>
    </xf>
    <xf numFmtId="0" fontId="31" fillId="14" borderId="51" xfId="0" applyFont="1" applyFill="1" applyBorder="1" applyAlignment="1">
      <alignment horizontal="center"/>
    </xf>
    <xf numFmtId="1" fontId="30" fillId="14" borderId="40" xfId="0" applyNumberFormat="1" applyFont="1" applyFill="1" applyBorder="1" applyAlignment="1">
      <alignment horizontal="center"/>
    </xf>
    <xf numFmtId="1" fontId="30" fillId="14" borderId="41" xfId="0" applyNumberFormat="1" applyFont="1" applyFill="1" applyBorder="1" applyAlignment="1">
      <alignment horizontal="center"/>
    </xf>
    <xf numFmtId="1" fontId="31" fillId="19" borderId="41" xfId="0" applyNumberFormat="1" applyFont="1" applyFill="1" applyBorder="1" applyAlignment="1">
      <alignment horizontal="center"/>
    </xf>
    <xf numFmtId="0" fontId="31" fillId="19" borderId="31" xfId="0" applyFont="1" applyFill="1" applyBorder="1" applyAlignment="1">
      <alignment horizontal="center"/>
    </xf>
    <xf numFmtId="0" fontId="0" fillId="0" borderId="15" xfId="0" applyBorder="1" applyAlignment="1">
      <alignment wrapText="1"/>
    </xf>
    <xf numFmtId="0" fontId="4" fillId="0" borderId="8" xfId="0" applyFont="1" applyBorder="1" applyAlignment="1">
      <alignment horizontal="left"/>
    </xf>
    <xf numFmtId="0" fontId="4" fillId="0" borderId="19" xfId="2" applyFont="1" applyFill="1" applyBorder="1" applyAlignment="1">
      <alignment horizontal="left" wrapText="1"/>
    </xf>
    <xf numFmtId="0" fontId="15" fillId="0" borderId="8" xfId="0" applyFont="1" applyBorder="1" applyAlignment="1">
      <alignment horizontal="left"/>
    </xf>
    <xf numFmtId="0" fontId="3" fillId="12" borderId="2" xfId="0" applyFont="1" applyFill="1" applyBorder="1" applyAlignment="1">
      <alignment horizontal="center" vertical="center" wrapText="1"/>
    </xf>
    <xf numFmtId="0" fontId="3" fillId="14" borderId="26" xfId="0" applyFont="1" applyFill="1" applyBorder="1" applyAlignment="1">
      <alignment horizontal="center" vertical="center"/>
    </xf>
    <xf numFmtId="0" fontId="19" fillId="14" borderId="0" xfId="0" applyFont="1" applyFill="1"/>
    <xf numFmtId="0" fontId="0" fillId="3" borderId="10" xfId="0" applyFill="1" applyBorder="1"/>
    <xf numFmtId="0" fontId="0" fillId="7" borderId="16" xfId="0" applyFill="1" applyBorder="1"/>
    <xf numFmtId="0" fontId="20" fillId="14" borderId="0" xfId="0" applyFont="1" applyFill="1"/>
    <xf numFmtId="0" fontId="54" fillId="14" borderId="0" xfId="0" applyFont="1" applyFill="1" applyAlignment="1">
      <alignment horizontal="right"/>
    </xf>
    <xf numFmtId="10" fontId="18" fillId="14" borderId="0" xfId="0" applyNumberFormat="1" applyFont="1" applyFill="1"/>
    <xf numFmtId="0" fontId="18" fillId="14" borderId="7" xfId="0" applyFont="1" applyFill="1" applyBorder="1"/>
    <xf numFmtId="0" fontId="18" fillId="14" borderId="11" xfId="0" applyFont="1" applyFill="1" applyBorder="1"/>
    <xf numFmtId="0" fontId="18" fillId="14" borderId="12" xfId="0" applyFont="1" applyFill="1" applyBorder="1"/>
    <xf numFmtId="0" fontId="0" fillId="29" borderId="10" xfId="0" applyFill="1" applyBorder="1"/>
    <xf numFmtId="0" fontId="4" fillId="0" borderId="10" xfId="0" applyFont="1" applyBorder="1" applyAlignment="1">
      <alignment vertical="center"/>
    </xf>
    <xf numFmtId="0" fontId="0" fillId="0" borderId="11" xfId="0" applyBorder="1" applyAlignment="1">
      <alignment vertical="center"/>
    </xf>
    <xf numFmtId="0" fontId="0" fillId="0" borderId="12" xfId="0" applyBorder="1" applyAlignment="1">
      <alignment vertical="center"/>
    </xf>
    <xf numFmtId="9" fontId="55" fillId="14" borderId="19" xfId="0" applyNumberFormat="1" applyFont="1" applyFill="1" applyBorder="1" applyAlignment="1">
      <alignment horizontal="right"/>
    </xf>
    <xf numFmtId="0" fontId="0" fillId="28" borderId="12" xfId="0" applyFill="1" applyBorder="1" applyAlignment="1">
      <alignment horizontal="center"/>
    </xf>
    <xf numFmtId="0" fontId="24" fillId="14" borderId="26" xfId="0" applyFont="1" applyFill="1" applyBorder="1" applyAlignment="1">
      <alignment horizontal="center" vertical="center"/>
    </xf>
    <xf numFmtId="0" fontId="30" fillId="0" borderId="8" xfId="0" applyFont="1" applyBorder="1" applyAlignment="1">
      <alignment horizontal="center" vertical="center"/>
    </xf>
    <xf numFmtId="0" fontId="30" fillId="0" borderId="5" xfId="0" applyFont="1" applyBorder="1" applyAlignment="1">
      <alignment horizontal="center" vertical="center"/>
    </xf>
    <xf numFmtId="10" fontId="30" fillId="0" borderId="8" xfId="0" applyNumberFormat="1" applyFont="1" applyBorder="1" applyAlignment="1">
      <alignment horizontal="center" vertical="center"/>
    </xf>
    <xf numFmtId="10" fontId="30" fillId="0" borderId="5" xfId="0" applyNumberFormat="1" applyFont="1" applyBorder="1" applyAlignment="1">
      <alignment horizontal="center" vertical="center"/>
    </xf>
    <xf numFmtId="0" fontId="44" fillId="0" borderId="0" xfId="0" applyFont="1" applyAlignment="1">
      <alignment horizontal="center" vertical="center"/>
    </xf>
    <xf numFmtId="49" fontId="30" fillId="0" borderId="0" xfId="0" applyNumberFormat="1" applyFont="1" applyAlignment="1">
      <alignment horizontal="center" vertical="center"/>
    </xf>
    <xf numFmtId="0" fontId="56" fillId="0" borderId="13" xfId="0" applyFont="1" applyBorder="1" applyAlignment="1">
      <alignment horizontal="center"/>
    </xf>
    <xf numFmtId="0" fontId="56" fillId="0" borderId="14" xfId="0" applyFont="1" applyBorder="1" applyAlignment="1">
      <alignment horizontal="center"/>
    </xf>
    <xf numFmtId="0" fontId="56" fillId="0" borderId="0" xfId="0" applyFont="1" applyAlignment="1">
      <alignment horizontal="center"/>
    </xf>
    <xf numFmtId="0" fontId="56" fillId="0" borderId="5" xfId="0" applyFont="1" applyBorder="1" applyAlignment="1">
      <alignment horizontal="center"/>
    </xf>
    <xf numFmtId="10" fontId="56" fillId="0" borderId="0" xfId="0" applyNumberFormat="1" applyFont="1" applyAlignment="1">
      <alignment horizontal="center" vertical="center"/>
    </xf>
    <xf numFmtId="0" fontId="56" fillId="0" borderId="0" xfId="0" applyFont="1" applyAlignment="1">
      <alignment horizontal="center" vertical="center"/>
    </xf>
    <xf numFmtId="10" fontId="56" fillId="0" borderId="5" xfId="0" applyNumberFormat="1" applyFont="1" applyBorder="1" applyAlignment="1">
      <alignment horizontal="center" vertical="center"/>
    </xf>
    <xf numFmtId="0" fontId="10" fillId="14" borderId="21" xfId="0" applyFont="1" applyFill="1" applyBorder="1"/>
    <xf numFmtId="0" fontId="3" fillId="12" borderId="58" xfId="0" applyFont="1" applyFill="1" applyBorder="1" applyAlignment="1">
      <alignment horizontal="center" vertical="center" wrapText="1"/>
    </xf>
    <xf numFmtId="0" fontId="11" fillId="0" borderId="61" xfId="2" applyFill="1" applyBorder="1" applyAlignment="1">
      <alignment wrapText="1"/>
    </xf>
    <xf numFmtId="0" fontId="0" fillId="0" borderId="19" xfId="0" applyBorder="1" applyAlignment="1">
      <alignment horizontal="center" wrapText="1"/>
    </xf>
    <xf numFmtId="0" fontId="4" fillId="0" borderId="19" xfId="0" applyFont="1" applyBorder="1" applyAlignment="1">
      <alignment horizontal="center" wrapText="1"/>
    </xf>
    <xf numFmtId="0" fontId="0" fillId="0" borderId="19" xfId="0" applyBorder="1" applyAlignment="1">
      <alignment horizontal="left" wrapText="1"/>
    </xf>
    <xf numFmtId="0" fontId="0" fillId="0" borderId="61" xfId="0" applyBorder="1" applyAlignment="1">
      <alignment wrapText="1"/>
    </xf>
    <xf numFmtId="0" fontId="4" fillId="0" borderId="19" xfId="0" applyFont="1" applyBorder="1" applyAlignment="1">
      <alignment horizontal="left" wrapText="1"/>
    </xf>
    <xf numFmtId="0" fontId="0" fillId="0" borderId="19" xfId="2" applyFont="1" applyFill="1" applyBorder="1" applyAlignment="1">
      <alignment horizontal="left" wrapText="1"/>
    </xf>
    <xf numFmtId="0" fontId="4" fillId="0" borderId="61" xfId="2" applyFont="1" applyFill="1" applyBorder="1" applyAlignment="1">
      <alignment wrapText="1"/>
    </xf>
    <xf numFmtId="0" fontId="8" fillId="0" borderId="19" xfId="0" applyFont="1" applyBorder="1" applyAlignment="1">
      <alignment horizontal="left" wrapText="1"/>
    </xf>
    <xf numFmtId="10" fontId="11" fillId="0" borderId="61" xfId="2" applyNumberFormat="1" applyFill="1" applyBorder="1" applyAlignment="1">
      <alignment wrapText="1"/>
    </xf>
    <xf numFmtId="0" fontId="15" fillId="0" borderId="19" xfId="0" applyFont="1" applyBorder="1" applyAlignment="1">
      <alignment wrapText="1"/>
    </xf>
    <xf numFmtId="0" fontId="0" fillId="0" borderId="19" xfId="0" applyBorder="1" applyAlignment="1">
      <alignment wrapText="1"/>
    </xf>
    <xf numFmtId="0" fontId="3" fillId="13" borderId="62" xfId="0" applyFont="1" applyFill="1" applyBorder="1" applyAlignment="1">
      <alignment wrapText="1"/>
    </xf>
    <xf numFmtId="0" fontId="30" fillId="0" borderId="0" xfId="0" applyFont="1" applyAlignment="1">
      <alignment horizontal="center" wrapText="1"/>
    </xf>
    <xf numFmtId="2" fontId="14" fillId="30" borderId="3" xfId="0" applyNumberFormat="1" applyFont="1" applyFill="1" applyBorder="1" applyAlignment="1">
      <alignment horizontal="center"/>
    </xf>
    <xf numFmtId="1" fontId="43" fillId="14" borderId="32" xfId="0" applyNumberFormat="1" applyFont="1" applyFill="1" applyBorder="1" applyAlignment="1">
      <alignment horizontal="center"/>
    </xf>
    <xf numFmtId="1" fontId="43" fillId="14" borderId="4" xfId="0" applyNumberFormat="1" applyFont="1" applyFill="1" applyBorder="1" applyAlignment="1">
      <alignment horizontal="center"/>
    </xf>
    <xf numFmtId="1" fontId="43" fillId="14" borderId="63" xfId="0" applyNumberFormat="1" applyFont="1" applyFill="1" applyBorder="1" applyAlignment="1">
      <alignment horizontal="center"/>
    </xf>
    <xf numFmtId="0" fontId="31" fillId="19" borderId="64" xfId="0" applyFont="1" applyFill="1" applyBorder="1" applyAlignment="1">
      <alignment horizontal="center"/>
    </xf>
    <xf numFmtId="0" fontId="0" fillId="0" borderId="0" xfId="0" pivotButton="1"/>
    <xf numFmtId="0" fontId="60" fillId="14" borderId="0" xfId="0" applyFont="1" applyFill="1" applyAlignment="1">
      <alignment horizontal="right"/>
    </xf>
    <xf numFmtId="10" fontId="13" fillId="31" borderId="3" xfId="0" applyNumberFormat="1" applyFont="1" applyFill="1" applyBorder="1" applyAlignment="1">
      <alignment horizontal="center"/>
    </xf>
    <xf numFmtId="10" fontId="13" fillId="32" borderId="3" xfId="0" applyNumberFormat="1" applyFont="1" applyFill="1" applyBorder="1" applyAlignment="1">
      <alignment horizontal="center"/>
    </xf>
    <xf numFmtId="10" fontId="13" fillId="33" borderId="3" xfId="0" applyNumberFormat="1" applyFont="1" applyFill="1" applyBorder="1" applyAlignment="1">
      <alignment horizontal="center"/>
    </xf>
    <xf numFmtId="0" fontId="4" fillId="0" borderId="25" xfId="0" applyFont="1" applyBorder="1" applyAlignment="1">
      <alignment horizontal="center" wrapText="1"/>
    </xf>
    <xf numFmtId="0" fontId="8" fillId="0" borderId="25" xfId="0" applyFont="1" applyBorder="1" applyAlignment="1">
      <alignment horizontal="center" wrapText="1"/>
    </xf>
    <xf numFmtId="0" fontId="4" fillId="0" borderId="25" xfId="0" applyFont="1" applyBorder="1" applyAlignment="1">
      <alignment horizontal="left" wrapText="1"/>
    </xf>
    <xf numFmtId="0" fontId="3" fillId="13" borderId="24" xfId="0" applyFont="1" applyFill="1" applyBorder="1" applyAlignment="1">
      <alignment horizontal="center" wrapText="1"/>
    </xf>
    <xf numFmtId="0" fontId="0" fillId="0" borderId="0" xfId="0" applyAlignment="1">
      <alignment horizontal="center" wrapText="1"/>
    </xf>
    <xf numFmtId="0" fontId="0" fillId="0" borderId="20" xfId="0" applyBorder="1" applyAlignment="1">
      <alignment horizontal="center" wrapText="1"/>
    </xf>
    <xf numFmtId="0" fontId="10" fillId="11" borderId="19" xfId="0" applyFont="1" applyFill="1" applyBorder="1"/>
    <xf numFmtId="0" fontId="9" fillId="0" borderId="19" xfId="0" applyFont="1" applyBorder="1"/>
    <xf numFmtId="0" fontId="0" fillId="0" borderId="19" xfId="0" applyBorder="1"/>
    <xf numFmtId="0" fontId="0" fillId="0" borderId="22" xfId="0" applyBorder="1" applyAlignment="1">
      <alignment horizontal="center" wrapText="1"/>
    </xf>
    <xf numFmtId="0" fontId="3" fillId="2" borderId="68" xfId="0" applyFont="1" applyFill="1" applyBorder="1" applyAlignment="1">
      <alignment horizontal="center" textRotation="90"/>
    </xf>
    <xf numFmtId="0" fontId="30" fillId="0" borderId="18" xfId="0" applyFont="1" applyBorder="1" applyAlignment="1">
      <alignment horizontal="center" wrapText="1"/>
    </xf>
    <xf numFmtId="0" fontId="14" fillId="31" borderId="3" xfId="0" applyFont="1" applyFill="1" applyBorder="1" applyAlignment="1">
      <alignment horizontal="center"/>
    </xf>
    <xf numFmtId="1" fontId="33" fillId="20" borderId="0" xfId="0" applyNumberFormat="1" applyFont="1" applyFill="1" applyAlignment="1">
      <alignment horizontal="center"/>
    </xf>
    <xf numFmtId="1" fontId="30" fillId="26" borderId="0" xfId="6" applyNumberFormat="1" applyFont="1" applyFill="1"/>
    <xf numFmtId="0" fontId="0" fillId="14" borderId="19" xfId="0" applyFill="1" applyBorder="1"/>
    <xf numFmtId="0" fontId="31" fillId="19" borderId="24" xfId="0" applyFont="1" applyFill="1" applyBorder="1" applyAlignment="1">
      <alignment horizontal="right"/>
    </xf>
    <xf numFmtId="0" fontId="31" fillId="19" borderId="23" xfId="0" applyFont="1" applyFill="1" applyBorder="1" applyAlignment="1">
      <alignment horizontal="center"/>
    </xf>
    <xf numFmtId="0" fontId="31" fillId="19" borderId="26" xfId="0" applyFont="1" applyFill="1" applyBorder="1"/>
    <xf numFmtId="0" fontId="0" fillId="34" borderId="15" xfId="0" applyFill="1" applyBorder="1"/>
    <xf numFmtId="0" fontId="4" fillId="34" borderId="17" xfId="0" applyFont="1" applyFill="1" applyBorder="1"/>
    <xf numFmtId="0" fontId="0" fillId="34" borderId="8" xfId="0" applyFill="1" applyBorder="1"/>
    <xf numFmtId="0" fontId="0" fillId="34" borderId="9" xfId="0" applyFill="1" applyBorder="1"/>
    <xf numFmtId="0" fontId="4" fillId="34" borderId="9" xfId="0" applyFont="1" applyFill="1" applyBorder="1" applyAlignment="1">
      <alignment horizontal="left"/>
    </xf>
    <xf numFmtId="0" fontId="4" fillId="34" borderId="9" xfId="0" applyFont="1" applyFill="1" applyBorder="1"/>
    <xf numFmtId="0" fontId="0" fillId="34" borderId="8" xfId="0" applyFill="1" applyBorder="1" applyAlignment="1">
      <alignment vertical="center"/>
    </xf>
    <xf numFmtId="0" fontId="15" fillId="34" borderId="9" xfId="0" applyFont="1" applyFill="1" applyBorder="1" applyAlignment="1">
      <alignment horizontal="left"/>
    </xf>
    <xf numFmtId="0" fontId="17" fillId="34" borderId="9" xfId="0" applyFont="1" applyFill="1" applyBorder="1" applyAlignment="1">
      <alignment horizontal="left"/>
    </xf>
    <xf numFmtId="0" fontId="23" fillId="34" borderId="9" xfId="0" applyFont="1" applyFill="1" applyBorder="1"/>
    <xf numFmtId="0" fontId="34" fillId="36" borderId="27" xfId="0" applyFont="1" applyFill="1" applyBorder="1" applyAlignment="1">
      <alignment horizontal="center"/>
    </xf>
    <xf numFmtId="0" fontId="1" fillId="0" borderId="0" xfId="0" applyFont="1" applyAlignment="1">
      <alignment horizontal="center" vertical="center"/>
    </xf>
    <xf numFmtId="0" fontId="34" fillId="12" borderId="19" xfId="0" applyFont="1" applyFill="1" applyBorder="1"/>
    <xf numFmtId="0" fontId="62" fillId="12" borderId="19" xfId="2" applyFont="1" applyFill="1" applyBorder="1"/>
    <xf numFmtId="0" fontId="30" fillId="12" borderId="19" xfId="0" applyFont="1" applyFill="1" applyBorder="1" applyAlignment="1">
      <alignment horizontal="center"/>
    </xf>
    <xf numFmtId="0" fontId="35" fillId="20" borderId="0" xfId="0" applyFont="1" applyFill="1" applyAlignment="1">
      <alignment horizontal="center" vertical="top"/>
    </xf>
    <xf numFmtId="0" fontId="63" fillId="0" borderId="0" xfId="0" applyFont="1" applyAlignment="1">
      <alignment vertical="center"/>
    </xf>
    <xf numFmtId="0" fontId="35" fillId="0" borderId="0" xfId="0" applyFont="1" applyAlignment="1">
      <alignment horizontal="center" vertical="top"/>
    </xf>
    <xf numFmtId="0" fontId="64" fillId="0" borderId="0" xfId="0" applyFont="1" applyAlignment="1">
      <alignment vertical="center"/>
    </xf>
    <xf numFmtId="0" fontId="22" fillId="38" borderId="19" xfId="0" applyFont="1" applyFill="1" applyBorder="1" applyAlignment="1">
      <alignment horizontal="center"/>
    </xf>
    <xf numFmtId="0" fontId="34" fillId="15" borderId="25" xfId="0" applyFont="1" applyFill="1" applyBorder="1" applyAlignment="1">
      <alignment horizontal="center"/>
    </xf>
    <xf numFmtId="0" fontId="34" fillId="15" borderId="25" xfId="0" applyFont="1" applyFill="1" applyBorder="1" applyAlignment="1">
      <alignment horizontal="center" vertical="center"/>
    </xf>
    <xf numFmtId="0" fontId="34" fillId="38" borderId="19" xfId="0" applyFont="1" applyFill="1" applyBorder="1" applyAlignment="1">
      <alignment horizontal="center" vertical="center"/>
    </xf>
    <xf numFmtId="0" fontId="34" fillId="19" borderId="19" xfId="0" applyFont="1" applyFill="1" applyBorder="1" applyAlignment="1">
      <alignment horizontal="left"/>
    </xf>
    <xf numFmtId="0" fontId="34" fillId="19" borderId="25" xfId="0" applyFont="1" applyFill="1" applyBorder="1" applyAlignment="1">
      <alignment horizontal="center" vertical="center"/>
    </xf>
    <xf numFmtId="0" fontId="34" fillId="19" borderId="23" xfId="0" applyFont="1" applyFill="1" applyBorder="1" applyAlignment="1">
      <alignment horizontal="center" vertical="center"/>
    </xf>
    <xf numFmtId="0" fontId="34" fillId="19" borderId="24" xfId="0" applyFont="1" applyFill="1" applyBorder="1" applyAlignment="1">
      <alignment horizontal="center" vertical="center"/>
    </xf>
    <xf numFmtId="0" fontId="34" fillId="19" borderId="19" xfId="0" applyFont="1" applyFill="1" applyBorder="1" applyAlignment="1">
      <alignment horizontal="center" vertical="center"/>
    </xf>
    <xf numFmtId="0" fontId="30" fillId="0" borderId="2" xfId="0" applyFont="1" applyBorder="1"/>
    <xf numFmtId="0" fontId="30" fillId="0" borderId="0" xfId="0" applyFont="1"/>
    <xf numFmtId="0" fontId="30" fillId="0" borderId="2" xfId="0" applyFont="1" applyBorder="1" applyAlignment="1">
      <alignment horizontal="center"/>
    </xf>
    <xf numFmtId="0" fontId="30" fillId="0" borderId="1" xfId="0" applyFont="1" applyBorder="1" applyAlignment="1">
      <alignment horizontal="center" vertical="center"/>
    </xf>
    <xf numFmtId="0" fontId="30" fillId="0" borderId="0" xfId="0" applyFont="1" applyAlignment="1">
      <alignment horizontal="center"/>
    </xf>
    <xf numFmtId="0" fontId="30" fillId="0" borderId="1" xfId="0" applyFont="1" applyBorder="1"/>
    <xf numFmtId="0" fontId="30" fillId="0" borderId="2" xfId="0" applyFont="1" applyBorder="1" applyAlignment="1">
      <alignment horizontal="center" vertical="center"/>
    </xf>
    <xf numFmtId="0" fontId="30" fillId="0" borderId="18" xfId="0" applyFont="1" applyBorder="1"/>
    <xf numFmtId="0" fontId="30" fillId="0" borderId="18" xfId="0" applyFont="1" applyBorder="1" applyAlignment="1">
      <alignment horizontal="center"/>
    </xf>
    <xf numFmtId="0" fontId="30" fillId="0" borderId="4" xfId="0" applyFont="1" applyBorder="1" applyAlignment="1">
      <alignment horizontal="center" vertical="center"/>
    </xf>
    <xf numFmtId="0" fontId="30" fillId="0" borderId="26" xfId="0" applyFont="1" applyBorder="1"/>
    <xf numFmtId="0" fontId="30" fillId="0" borderId="21" xfId="0" applyFont="1" applyBorder="1"/>
    <xf numFmtId="0" fontId="30" fillId="0" borderId="26" xfId="0" applyFont="1" applyBorder="1" applyAlignment="1">
      <alignment horizontal="center"/>
    </xf>
    <xf numFmtId="0" fontId="30" fillId="0" borderId="20" xfId="0" applyFont="1" applyBorder="1" applyAlignment="1">
      <alignment horizontal="center" vertical="center"/>
    </xf>
    <xf numFmtId="0" fontId="30" fillId="0" borderId="21" xfId="0" applyFont="1" applyBorder="1" applyAlignment="1">
      <alignment horizontal="center"/>
    </xf>
    <xf numFmtId="0" fontId="30" fillId="0" borderId="20" xfId="0" applyFont="1" applyBorder="1"/>
    <xf numFmtId="0" fontId="34" fillId="19" borderId="31" xfId="0" applyFont="1" applyFill="1" applyBorder="1" applyAlignment="1">
      <alignment horizontal="center" vertical="center"/>
    </xf>
    <xf numFmtId="0" fontId="58" fillId="3" borderId="0" xfId="0" applyFont="1" applyFill="1" applyAlignment="1">
      <alignment vertical="center" wrapText="1"/>
    </xf>
    <xf numFmtId="0" fontId="0" fillId="0" borderId="15" xfId="0" applyBorder="1" applyAlignment="1">
      <alignment vertical="top"/>
    </xf>
    <xf numFmtId="0" fontId="4" fillId="0" borderId="15" xfId="0" applyFont="1" applyBorder="1" applyAlignment="1">
      <alignment vertical="top"/>
    </xf>
    <xf numFmtId="0" fontId="0" fillId="0" borderId="19" xfId="0" applyBorder="1" applyAlignment="1">
      <alignment horizontal="center" vertical="top" wrapText="1"/>
    </xf>
    <xf numFmtId="0" fontId="4" fillId="0" borderId="19" xfId="0" applyFont="1" applyBorder="1" applyAlignment="1">
      <alignment horizontal="center" vertical="top" wrapText="1"/>
    </xf>
    <xf numFmtId="0" fontId="8" fillId="0" borderId="19" xfId="0" applyFont="1" applyBorder="1" applyAlignment="1">
      <alignment horizontal="center" vertical="top" wrapText="1"/>
    </xf>
    <xf numFmtId="0" fontId="0" fillId="0" borderId="19" xfId="0" applyBorder="1" applyAlignment="1">
      <alignment horizontal="left" vertical="top" wrapText="1"/>
    </xf>
    <xf numFmtId="0" fontId="11" fillId="0" borderId="61" xfId="2" applyFill="1" applyBorder="1" applyAlignment="1">
      <alignment vertical="top" wrapText="1"/>
    </xf>
    <xf numFmtId="0" fontId="0" fillId="0" borderId="0" xfId="0" applyAlignment="1">
      <alignment vertical="top" wrapText="1"/>
    </xf>
    <xf numFmtId="0" fontId="0" fillId="0" borderId="0" xfId="0" applyAlignment="1">
      <alignment vertical="top"/>
    </xf>
    <xf numFmtId="0" fontId="11" fillId="0" borderId="61" xfId="2" applyBorder="1" applyAlignment="1">
      <alignment vertical="top" wrapText="1"/>
    </xf>
    <xf numFmtId="0" fontId="11" fillId="0" borderId="61" xfId="2" applyBorder="1" applyAlignment="1">
      <alignment wrapText="1"/>
    </xf>
    <xf numFmtId="0" fontId="4" fillId="0" borderId="19" xfId="2" applyFont="1" applyBorder="1" applyAlignment="1">
      <alignment horizontal="left" wrapText="1"/>
    </xf>
    <xf numFmtId="0" fontId="0" fillId="0" borderId="19" xfId="2" applyFont="1" applyBorder="1" applyAlignment="1">
      <alignment horizontal="left" wrapText="1"/>
    </xf>
    <xf numFmtId="0" fontId="4" fillId="0" borderId="61" xfId="2" applyFont="1" applyBorder="1" applyAlignment="1">
      <alignment wrapText="1"/>
    </xf>
    <xf numFmtId="10" fontId="11" fillId="0" borderId="61" xfId="2" applyNumberFormat="1" applyBorder="1" applyAlignment="1">
      <alignment wrapText="1"/>
    </xf>
    <xf numFmtId="0" fontId="4" fillId="0" borderId="19" xfId="2" applyFont="1" applyBorder="1" applyAlignment="1">
      <alignment wrapText="1"/>
    </xf>
    <xf numFmtId="0" fontId="0" fillId="26" borderId="8" xfId="0" applyFill="1" applyBorder="1"/>
    <xf numFmtId="0" fontId="0" fillId="26" borderId="8" xfId="0" applyFill="1" applyBorder="1" applyAlignment="1">
      <alignment horizontal="left"/>
    </xf>
    <xf numFmtId="0" fontId="17" fillId="26" borderId="8" xfId="0" applyFont="1" applyFill="1" applyBorder="1" applyAlignment="1">
      <alignment horizontal="left"/>
    </xf>
    <xf numFmtId="0" fontId="4" fillId="26" borderId="8" xfId="0" applyFont="1" applyFill="1" applyBorder="1"/>
    <xf numFmtId="0" fontId="23" fillId="26" borderId="8" xfId="0" applyFont="1" applyFill="1" applyBorder="1"/>
    <xf numFmtId="0" fontId="4" fillId="26" borderId="8" xfId="0" applyFont="1" applyFill="1" applyBorder="1" applyAlignment="1">
      <alignment horizontal="left"/>
    </xf>
    <xf numFmtId="0" fontId="3" fillId="12" borderId="18" xfId="0" applyFont="1" applyFill="1" applyBorder="1" applyAlignment="1">
      <alignment horizontal="center" vertical="center"/>
    </xf>
    <xf numFmtId="0" fontId="0" fillId="3" borderId="19" xfId="0" applyFill="1" applyBorder="1" applyAlignment="1">
      <alignment horizontal="left" vertical="top"/>
    </xf>
    <xf numFmtId="0" fontId="0" fillId="0" borderId="19" xfId="0" applyBorder="1" applyAlignment="1">
      <alignment horizontal="left"/>
    </xf>
    <xf numFmtId="0" fontId="4" fillId="0" borderId="19" xfId="0" applyFont="1" applyBorder="1" applyAlignment="1">
      <alignment horizontal="left"/>
    </xf>
    <xf numFmtId="0" fontId="4" fillId="0" borderId="19" xfId="2" applyFont="1" applyFill="1" applyBorder="1" applyAlignment="1">
      <alignment horizontal="left"/>
    </xf>
    <xf numFmtId="0" fontId="0" fillId="0" borderId="19" xfId="2" applyFont="1" applyFill="1" applyBorder="1" applyAlignment="1">
      <alignment horizontal="left"/>
    </xf>
    <xf numFmtId="0" fontId="8" fillId="0" borderId="19" xfId="0" applyFont="1" applyBorder="1" applyAlignment="1">
      <alignment horizontal="left"/>
    </xf>
    <xf numFmtId="0" fontId="15" fillId="0" borderId="19" xfId="0" applyFont="1" applyBorder="1"/>
    <xf numFmtId="0" fontId="4" fillId="0" borderId="19" xfId="2" applyFont="1" applyFill="1" applyBorder="1" applyAlignment="1"/>
    <xf numFmtId="0" fontId="4" fillId="0" borderId="19" xfId="2" applyFont="1" applyBorder="1" applyAlignment="1">
      <alignment horizontal="left"/>
    </xf>
    <xf numFmtId="0" fontId="0" fillId="0" borderId="0" xfId="0" applyAlignment="1">
      <alignment horizontal="left"/>
    </xf>
    <xf numFmtId="0" fontId="31" fillId="14" borderId="0" xfId="0" applyFont="1" applyFill="1" applyAlignment="1">
      <alignment horizontal="left"/>
    </xf>
    <xf numFmtId="0" fontId="30" fillId="14" borderId="0" xfId="0" applyFont="1" applyFill="1" applyAlignment="1">
      <alignment horizontal="right"/>
    </xf>
    <xf numFmtId="9" fontId="51" fillId="14" borderId="0" xfId="0" applyNumberFormat="1" applyFont="1" applyFill="1" applyAlignment="1">
      <alignment horizontal="center"/>
    </xf>
    <xf numFmtId="0" fontId="0" fillId="16" borderId="11" xfId="0" applyFill="1" applyBorder="1" applyAlignment="1">
      <alignment horizontal="center" wrapText="1"/>
    </xf>
    <xf numFmtId="0" fontId="20" fillId="0" borderId="23" xfId="0" applyFont="1" applyBorder="1"/>
    <xf numFmtId="0" fontId="20" fillId="0" borderId="24" xfId="0" applyFont="1" applyBorder="1"/>
    <xf numFmtId="0" fontId="9" fillId="0" borderId="27" xfId="0" applyFont="1" applyBorder="1"/>
    <xf numFmtId="9" fontId="19" fillId="14" borderId="2" xfId="0" applyNumberFormat="1" applyFont="1" applyFill="1" applyBorder="1" applyAlignment="1">
      <alignment horizontal="right"/>
    </xf>
    <xf numFmtId="0" fontId="14" fillId="32" borderId="3" xfId="0" applyFont="1" applyFill="1" applyBorder="1" applyAlignment="1">
      <alignment horizontal="center"/>
    </xf>
    <xf numFmtId="2" fontId="14" fillId="10" borderId="3" xfId="0" applyNumberFormat="1" applyFont="1" applyFill="1" applyBorder="1" applyAlignment="1">
      <alignment horizontal="center"/>
    </xf>
    <xf numFmtId="0" fontId="0" fillId="0" borderId="0" xfId="0" applyAlignment="1">
      <alignment horizontal="center" vertical="top" wrapText="1"/>
    </xf>
    <xf numFmtId="0" fontId="11" fillId="0" borderId="19" xfId="2" applyBorder="1" applyAlignment="1">
      <alignment horizontal="left" vertical="top" wrapText="1"/>
    </xf>
    <xf numFmtId="0" fontId="11" fillId="0" borderId="19" xfId="2" applyFill="1" applyBorder="1" applyAlignment="1">
      <alignment horizontal="left" wrapText="1"/>
    </xf>
    <xf numFmtId="0" fontId="3" fillId="2" borderId="21" xfId="0" applyFont="1" applyFill="1" applyBorder="1" applyAlignment="1">
      <alignment horizontal="center" textRotation="90"/>
    </xf>
    <xf numFmtId="0" fontId="3" fillId="2" borderId="76" xfId="0" applyFont="1" applyFill="1" applyBorder="1" applyAlignment="1">
      <alignment horizontal="center" textRotation="90"/>
    </xf>
    <xf numFmtId="0" fontId="0" fillId="40" borderId="19" xfId="0" applyFill="1" applyBorder="1" applyAlignment="1">
      <alignment horizontal="center" vertical="top" wrapText="1"/>
    </xf>
    <xf numFmtId="0" fontId="4" fillId="40" borderId="19" xfId="0" applyFont="1" applyFill="1" applyBorder="1" applyAlignment="1">
      <alignment horizontal="center" vertical="top" wrapText="1"/>
    </xf>
    <xf numFmtId="0" fontId="0" fillId="40" borderId="19" xfId="0" applyFill="1" applyBorder="1" applyAlignment="1">
      <alignment horizontal="center" wrapText="1"/>
    </xf>
    <xf numFmtId="0" fontId="4" fillId="40" borderId="19" xfId="0" applyFont="1" applyFill="1" applyBorder="1" applyAlignment="1">
      <alignment horizontal="center" wrapText="1"/>
    </xf>
    <xf numFmtId="0" fontId="11" fillId="0" borderId="19" xfId="2" applyBorder="1" applyAlignment="1">
      <alignment horizontal="left" wrapText="1"/>
    </xf>
    <xf numFmtId="0" fontId="11" fillId="14" borderId="8" xfId="2" applyFill="1" applyBorder="1" applyAlignment="1"/>
    <xf numFmtId="0" fontId="11" fillId="14" borderId="19" xfId="2" applyFill="1" applyBorder="1" applyAlignment="1">
      <alignment wrapText="1"/>
    </xf>
    <xf numFmtId="0" fontId="11" fillId="0" borderId="26" xfId="2" applyFill="1" applyBorder="1" applyAlignment="1">
      <alignment wrapText="1"/>
    </xf>
    <xf numFmtId="0" fontId="15" fillId="0" borderId="26" xfId="0" applyFont="1" applyBorder="1" applyAlignment="1">
      <alignment wrapText="1"/>
    </xf>
    <xf numFmtId="0" fontId="9" fillId="14" borderId="23" xfId="0" applyFont="1" applyFill="1" applyBorder="1" applyAlignment="1">
      <alignment horizontal="left" vertical="top" wrapText="1"/>
    </xf>
    <xf numFmtId="0" fontId="9" fillId="14" borderId="24" xfId="0" applyFont="1" applyFill="1" applyBorder="1" applyAlignment="1">
      <alignment horizontal="left" vertical="top" wrapText="1"/>
    </xf>
    <xf numFmtId="0" fontId="9" fillId="14" borderId="25" xfId="0" applyFont="1" applyFill="1" applyBorder="1" applyAlignment="1">
      <alignment horizontal="left" vertical="top" wrapText="1"/>
    </xf>
    <xf numFmtId="0" fontId="22" fillId="2" borderId="23" xfId="0" applyFont="1" applyFill="1" applyBorder="1" applyAlignment="1">
      <alignment horizontal="left"/>
    </xf>
    <xf numFmtId="0" fontId="22" fillId="2" borderId="24" xfId="0" applyFont="1" applyFill="1" applyBorder="1" applyAlignment="1">
      <alignment horizontal="left"/>
    </xf>
    <xf numFmtId="0" fontId="22" fillId="2" borderId="25" xfId="0" applyFont="1" applyFill="1" applyBorder="1" applyAlignment="1">
      <alignment horizontal="left"/>
    </xf>
    <xf numFmtId="0" fontId="0" fillId="14" borderId="0" xfId="0" applyFill="1" applyAlignment="1">
      <alignment horizontal="center"/>
    </xf>
    <xf numFmtId="0" fontId="59" fillId="2" borderId="66" xfId="2" applyFont="1" applyFill="1" applyBorder="1" applyAlignment="1">
      <alignment horizontal="center" vertical="center"/>
    </xf>
    <xf numFmtId="0" fontId="59" fillId="2" borderId="65" xfId="2" applyFont="1" applyFill="1" applyBorder="1" applyAlignment="1">
      <alignment horizontal="center" vertical="center"/>
    </xf>
    <xf numFmtId="0" fontId="59" fillId="2" borderId="67" xfId="2" applyFont="1" applyFill="1" applyBorder="1" applyAlignment="1">
      <alignment horizontal="center" vertical="center"/>
    </xf>
    <xf numFmtId="0" fontId="21" fillId="0" borderId="0" xfId="0" applyFont="1" applyAlignment="1">
      <alignment horizontal="left"/>
    </xf>
    <xf numFmtId="0" fontId="0" fillId="0" borderId="0" xfId="0" applyAlignment="1">
      <alignment horizontal="left"/>
    </xf>
    <xf numFmtId="0" fontId="61" fillId="15" borderId="29" xfId="0" applyFont="1" applyFill="1" applyBorder="1" applyAlignment="1">
      <alignment horizontal="left"/>
    </xf>
    <xf numFmtId="0" fontId="22" fillId="15" borderId="30" xfId="0" applyFont="1" applyFill="1" applyBorder="1" applyAlignment="1">
      <alignment horizontal="left"/>
    </xf>
    <xf numFmtId="0" fontId="22" fillId="15" borderId="31" xfId="0" applyFont="1" applyFill="1" applyBorder="1" applyAlignment="1">
      <alignment horizontal="left"/>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0" fontId="22" fillId="15" borderId="19" xfId="0" applyFont="1" applyFill="1" applyBorder="1" applyAlignment="1">
      <alignment horizontal="left"/>
    </xf>
    <xf numFmtId="0" fontId="27" fillId="0" borderId="0" xfId="0" applyFont="1" applyAlignment="1">
      <alignment horizontal="left"/>
    </xf>
    <xf numFmtId="0" fontId="5" fillId="12" borderId="3" xfId="0" applyFont="1" applyFill="1" applyBorder="1" applyAlignment="1">
      <alignment horizontal="center" vertical="center"/>
    </xf>
    <xf numFmtId="0" fontId="26" fillId="5" borderId="21" xfId="0" applyFont="1" applyFill="1" applyBorder="1" applyAlignment="1">
      <alignment horizontal="right" vertical="center" wrapText="1"/>
    </xf>
    <xf numFmtId="0" fontId="6" fillId="0" borderId="29" xfId="0" applyFont="1" applyBorder="1" applyAlignment="1">
      <alignment horizontal="center" vertical="center"/>
    </xf>
    <xf numFmtId="0" fontId="6" fillId="0" borderId="30" xfId="0" applyFont="1" applyBorder="1" applyAlignment="1">
      <alignment horizontal="center" vertical="center"/>
    </xf>
    <xf numFmtId="0" fontId="6" fillId="0" borderId="31" xfId="0" applyFont="1" applyBorder="1" applyAlignment="1">
      <alignment horizontal="center" vertical="center"/>
    </xf>
    <xf numFmtId="0" fontId="6" fillId="0" borderId="1" xfId="0" applyFont="1" applyBorder="1" applyAlignment="1">
      <alignment horizontal="center" vertical="center"/>
    </xf>
    <xf numFmtId="0" fontId="6" fillId="0" borderId="21" xfId="0" applyFont="1" applyBorder="1" applyAlignment="1">
      <alignment horizontal="center" vertical="center"/>
    </xf>
    <xf numFmtId="0" fontId="6" fillId="0" borderId="22" xfId="0" applyFont="1" applyBorder="1" applyAlignment="1">
      <alignment horizontal="center" vertical="center"/>
    </xf>
    <xf numFmtId="0" fontId="5" fillId="12" borderId="10" xfId="0" applyFont="1" applyFill="1" applyBorder="1" applyAlignment="1">
      <alignment horizontal="center" vertical="center"/>
    </xf>
    <xf numFmtId="0" fontId="5" fillId="12" borderId="9" xfId="0" applyFont="1" applyFill="1" applyBorder="1" applyAlignment="1">
      <alignment horizontal="center" vertical="center"/>
    </xf>
    <xf numFmtId="0" fontId="24" fillId="12" borderId="10" xfId="0" applyFont="1" applyFill="1" applyBorder="1" applyAlignment="1">
      <alignment horizontal="left" vertical="center" wrapText="1" indent="1"/>
    </xf>
    <xf numFmtId="0" fontId="3" fillId="12" borderId="10" xfId="0" applyFont="1" applyFill="1" applyBorder="1" applyAlignment="1">
      <alignment horizontal="left" vertical="center" indent="1"/>
    </xf>
    <xf numFmtId="0" fontId="5" fillId="12" borderId="10" xfId="0" applyFont="1" applyFill="1" applyBorder="1" applyAlignment="1">
      <alignment horizontal="center" vertical="center" wrapText="1"/>
    </xf>
    <xf numFmtId="0" fontId="0" fillId="0" borderId="9" xfId="0" applyBorder="1" applyAlignment="1">
      <alignment horizontal="center"/>
    </xf>
    <xf numFmtId="0" fontId="0" fillId="0" borderId="10" xfId="0" applyBorder="1" applyAlignment="1">
      <alignment horizontal="center"/>
    </xf>
    <xf numFmtId="0" fontId="3" fillId="13" borderId="23" xfId="0" applyFont="1" applyFill="1" applyBorder="1" applyAlignment="1">
      <alignment horizontal="center" vertical="top"/>
    </xf>
    <xf numFmtId="0" fontId="3" fillId="13" borderId="24" xfId="0" applyFont="1" applyFill="1" applyBorder="1" applyAlignment="1">
      <alignment horizontal="center" vertical="top"/>
    </xf>
    <xf numFmtId="0" fontId="3" fillId="13" borderId="25" xfId="0" applyFont="1" applyFill="1" applyBorder="1" applyAlignment="1">
      <alignment horizontal="center" vertical="top"/>
    </xf>
    <xf numFmtId="0" fontId="34" fillId="14" borderId="21" xfId="0" applyFont="1" applyFill="1" applyBorder="1" applyAlignment="1">
      <alignment horizontal="left" vertical="center"/>
    </xf>
    <xf numFmtId="0" fontId="42" fillId="14" borderId="20" xfId="0" applyFont="1" applyFill="1" applyBorder="1" applyAlignment="1">
      <alignment horizontal="left" vertical="center"/>
    </xf>
    <xf numFmtId="0" fontId="42" fillId="14" borderId="22" xfId="0" applyFont="1" applyFill="1" applyBorder="1" applyAlignment="1">
      <alignment horizontal="left" vertical="center"/>
    </xf>
    <xf numFmtId="0" fontId="3" fillId="11" borderId="52" xfId="0" applyFont="1" applyFill="1" applyBorder="1" applyAlignment="1">
      <alignment horizontal="center" textRotation="90"/>
    </xf>
    <xf numFmtId="0" fontId="3" fillId="11" borderId="53" xfId="0" applyFont="1" applyFill="1" applyBorder="1" applyAlignment="1">
      <alignment horizontal="center" textRotation="90"/>
    </xf>
    <xf numFmtId="0" fontId="3" fillId="11" borderId="33" xfId="0" applyFont="1" applyFill="1" applyBorder="1" applyAlignment="1">
      <alignment horizontal="center" textRotation="90"/>
    </xf>
    <xf numFmtId="0" fontId="3" fillId="11" borderId="34" xfId="0" applyFont="1" applyFill="1" applyBorder="1" applyAlignment="1">
      <alignment horizontal="center" textRotation="90"/>
    </xf>
    <xf numFmtId="0" fontId="6" fillId="15" borderId="20" xfId="0" applyFont="1" applyFill="1" applyBorder="1" applyAlignment="1">
      <alignment horizontal="center" vertical="center"/>
    </xf>
    <xf numFmtId="0" fontId="6" fillId="15" borderId="22" xfId="0" applyFont="1" applyFill="1" applyBorder="1" applyAlignment="1">
      <alignment horizontal="center" vertical="center"/>
    </xf>
    <xf numFmtId="0" fontId="57" fillId="0" borderId="23" xfId="0" applyFont="1" applyBorder="1" applyAlignment="1">
      <alignment horizontal="center" vertical="center" wrapText="1"/>
    </xf>
    <xf numFmtId="0" fontId="6" fillId="0" borderId="24" xfId="0" applyFont="1" applyBorder="1" applyAlignment="1">
      <alignment horizontal="center" vertical="center"/>
    </xf>
    <xf numFmtId="0" fontId="6" fillId="0" borderId="25" xfId="0" applyFont="1" applyBorder="1" applyAlignment="1">
      <alignment horizontal="center" vertical="center"/>
    </xf>
    <xf numFmtId="0" fontId="3" fillId="11" borderId="56" xfId="0" applyFont="1" applyFill="1" applyBorder="1" applyAlignment="1">
      <alignment horizontal="center" textRotation="90"/>
    </xf>
    <xf numFmtId="0" fontId="3" fillId="11" borderId="57" xfId="0" applyFont="1" applyFill="1" applyBorder="1" applyAlignment="1">
      <alignment horizontal="center" textRotation="90"/>
    </xf>
    <xf numFmtId="0" fontId="3" fillId="11" borderId="54" xfId="0" applyFont="1" applyFill="1" applyBorder="1" applyAlignment="1">
      <alignment horizontal="center" textRotation="90"/>
    </xf>
    <xf numFmtId="0" fontId="3" fillId="11" borderId="55" xfId="0" applyFont="1" applyFill="1" applyBorder="1" applyAlignment="1">
      <alignment horizontal="center" textRotation="90"/>
    </xf>
    <xf numFmtId="0" fontId="3" fillId="14" borderId="11" xfId="0" applyFont="1" applyFill="1" applyBorder="1" applyAlignment="1">
      <alignment horizontal="center" vertical="center"/>
    </xf>
    <xf numFmtId="0" fontId="3" fillId="14" borderId="12" xfId="0" applyFont="1" applyFill="1" applyBorder="1" applyAlignment="1">
      <alignment horizontal="center" vertical="center"/>
    </xf>
    <xf numFmtId="0" fontId="3" fillId="14" borderId="6" xfId="0" applyFont="1" applyFill="1" applyBorder="1" applyAlignment="1">
      <alignment horizontal="center" vertical="center"/>
    </xf>
    <xf numFmtId="0" fontId="3" fillId="14" borderId="7" xfId="0" applyFont="1" applyFill="1" applyBorder="1" applyAlignment="1">
      <alignment horizontal="center" vertical="center"/>
    </xf>
    <xf numFmtId="0" fontId="3" fillId="14" borderId="75" xfId="0" applyFont="1" applyFill="1" applyBorder="1" applyAlignment="1">
      <alignment horizontal="center" vertical="center"/>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65" fillId="39" borderId="0" xfId="0" applyFont="1" applyFill="1" applyAlignment="1">
      <alignment horizontal="left" vertical="center" wrapText="1"/>
    </xf>
    <xf numFmtId="0" fontId="22" fillId="2" borderId="3" xfId="0" applyFont="1" applyFill="1" applyBorder="1" applyAlignment="1">
      <alignment horizontal="center" vertical="center" textRotation="1"/>
    </xf>
    <xf numFmtId="0" fontId="3" fillId="13" borderId="0" xfId="0" applyFont="1" applyFill="1" applyAlignment="1">
      <alignment horizontal="center"/>
    </xf>
    <xf numFmtId="0" fontId="0" fillId="12" borderId="0" xfId="0" applyFill="1" applyAlignment="1">
      <alignment horizontal="center"/>
    </xf>
    <xf numFmtId="0" fontId="31" fillId="14" borderId="0" xfId="0" applyFont="1" applyFill="1" applyAlignment="1">
      <alignment horizontal="left"/>
    </xf>
    <xf numFmtId="1" fontId="3" fillId="14" borderId="69" xfId="0" applyNumberFormat="1" applyFont="1" applyFill="1" applyBorder="1" applyAlignment="1">
      <alignment horizontal="center" vertical="center"/>
    </xf>
    <xf numFmtId="1" fontId="3" fillId="14" borderId="18" xfId="0" applyNumberFormat="1" applyFont="1" applyFill="1" applyBorder="1" applyAlignment="1">
      <alignment horizontal="center" vertical="center"/>
    </xf>
    <xf numFmtId="1" fontId="3" fillId="14" borderId="22" xfId="0" applyNumberFormat="1" applyFont="1" applyFill="1" applyBorder="1" applyAlignment="1">
      <alignment horizontal="center" vertical="center"/>
    </xf>
    <xf numFmtId="0" fontId="30" fillId="19" borderId="1" xfId="0" applyFont="1" applyFill="1" applyBorder="1" applyAlignment="1">
      <alignment horizontal="right"/>
    </xf>
    <xf numFmtId="0" fontId="30" fillId="19" borderId="0" xfId="0" applyFont="1" applyFill="1" applyAlignment="1">
      <alignment horizontal="right"/>
    </xf>
    <xf numFmtId="0" fontId="30" fillId="19" borderId="18" xfId="0" applyFont="1" applyFill="1" applyBorder="1" applyAlignment="1">
      <alignment horizontal="right"/>
    </xf>
    <xf numFmtId="1" fontId="33" fillId="21" borderId="30" xfId="0" applyNumberFormat="1" applyFont="1" applyFill="1" applyBorder="1" applyAlignment="1">
      <alignment horizontal="center" vertical="center"/>
    </xf>
    <xf numFmtId="1" fontId="33" fillId="21" borderId="0" xfId="0" applyNumberFormat="1" applyFont="1" applyFill="1" applyAlignment="1">
      <alignment horizontal="center" vertical="center"/>
    </xf>
    <xf numFmtId="9" fontId="52" fillId="9" borderId="27" xfId="0" applyNumberFormat="1" applyFont="1" applyFill="1" applyBorder="1" applyAlignment="1">
      <alignment horizontal="center" vertical="center"/>
    </xf>
    <xf numFmtId="9" fontId="52" fillId="9" borderId="2" xfId="0" applyNumberFormat="1" applyFont="1" applyFill="1" applyBorder="1" applyAlignment="1">
      <alignment horizontal="center" vertical="center"/>
    </xf>
    <xf numFmtId="0" fontId="53" fillId="9" borderId="1" xfId="0" applyFont="1" applyFill="1" applyBorder="1" applyAlignment="1">
      <alignment horizontal="right"/>
    </xf>
    <xf numFmtId="0" fontId="53" fillId="9" borderId="0" xfId="0" applyFont="1" applyFill="1" applyAlignment="1">
      <alignment horizontal="right"/>
    </xf>
    <xf numFmtId="9" fontId="51" fillId="9" borderId="1" xfId="0" applyNumberFormat="1" applyFont="1" applyFill="1" applyBorder="1" applyAlignment="1">
      <alignment horizontal="center"/>
    </xf>
    <xf numFmtId="9" fontId="51" fillId="9" borderId="18" xfId="0" applyNumberFormat="1" applyFont="1" applyFill="1" applyBorder="1" applyAlignment="1">
      <alignment horizontal="center"/>
    </xf>
    <xf numFmtId="9" fontId="51" fillId="9" borderId="29" xfId="0" applyNumberFormat="1" applyFont="1" applyFill="1" applyBorder="1" applyAlignment="1">
      <alignment horizontal="center"/>
    </xf>
    <xf numFmtId="9" fontId="51" fillId="9" borderId="42" xfId="0" applyNumberFormat="1" applyFont="1" applyFill="1" applyBorder="1" applyAlignment="1">
      <alignment horizontal="center"/>
    </xf>
    <xf numFmtId="0" fontId="50" fillId="14" borderId="0" xfId="0" applyFont="1" applyFill="1" applyAlignment="1">
      <alignment horizontal="center"/>
    </xf>
    <xf numFmtId="1" fontId="33" fillId="20" borderId="31" xfId="0" applyNumberFormat="1" applyFont="1" applyFill="1" applyBorder="1" applyAlignment="1">
      <alignment horizontal="center" vertical="center"/>
    </xf>
    <xf numFmtId="1" fontId="33" fillId="20" borderId="18" xfId="0" applyNumberFormat="1" applyFont="1" applyFill="1" applyBorder="1" applyAlignment="1">
      <alignment horizontal="center" vertical="center"/>
    </xf>
    <xf numFmtId="0" fontId="30" fillId="14" borderId="0" xfId="0" applyFont="1" applyFill="1" applyAlignment="1">
      <alignment horizontal="right"/>
    </xf>
    <xf numFmtId="0" fontId="53" fillId="14" borderId="0" xfId="0" applyFont="1" applyFill="1" applyAlignment="1">
      <alignment horizontal="right"/>
    </xf>
    <xf numFmtId="9" fontId="52" fillId="14" borderId="0" xfId="0" applyNumberFormat="1" applyFont="1" applyFill="1" applyAlignment="1">
      <alignment horizontal="center" vertical="center"/>
    </xf>
    <xf numFmtId="9" fontId="51" fillId="14" borderId="0" xfId="0" applyNumberFormat="1" applyFont="1" applyFill="1" applyAlignment="1">
      <alignment horizontal="center"/>
    </xf>
    <xf numFmtId="1" fontId="33" fillId="14" borderId="0" xfId="0" applyNumberFormat="1" applyFont="1" applyFill="1" applyAlignment="1">
      <alignment horizontal="center" vertical="center"/>
    </xf>
    <xf numFmtId="0" fontId="0" fillId="18" borderId="0" xfId="0" applyFill="1" applyAlignment="1">
      <alignment horizontal="center"/>
    </xf>
    <xf numFmtId="1" fontId="3" fillId="14" borderId="0" xfId="0" applyNumberFormat="1" applyFont="1" applyFill="1" applyAlignment="1">
      <alignment horizontal="center"/>
    </xf>
    <xf numFmtId="0" fontId="1" fillId="14" borderId="0" xfId="0" applyFont="1" applyFill="1" applyAlignment="1">
      <alignment horizontal="center"/>
    </xf>
    <xf numFmtId="0" fontId="31" fillId="19" borderId="20" xfId="0" applyFont="1" applyFill="1" applyBorder="1" applyAlignment="1">
      <alignment horizontal="left"/>
    </xf>
    <xf numFmtId="0" fontId="31" fillId="19" borderId="21" xfId="0" applyFont="1" applyFill="1" applyBorder="1" applyAlignment="1">
      <alignment horizontal="left"/>
    </xf>
    <xf numFmtId="0" fontId="31" fillId="19" borderId="22" xfId="0" applyFont="1" applyFill="1" applyBorder="1" applyAlignment="1">
      <alignment horizontal="left"/>
    </xf>
    <xf numFmtId="0" fontId="30" fillId="19" borderId="20" xfId="0" applyFont="1" applyFill="1" applyBorder="1" applyAlignment="1">
      <alignment horizontal="right"/>
    </xf>
    <xf numFmtId="0" fontId="30" fillId="19" borderId="21" xfId="0" applyFont="1" applyFill="1" applyBorder="1" applyAlignment="1">
      <alignment horizontal="right"/>
    </xf>
    <xf numFmtId="0" fontId="30" fillId="19" borderId="22" xfId="0" applyFont="1" applyFill="1" applyBorder="1" applyAlignment="1">
      <alignment horizontal="right"/>
    </xf>
    <xf numFmtId="0" fontId="3" fillId="17" borderId="29" xfId="0" applyFont="1" applyFill="1" applyBorder="1" applyAlignment="1">
      <alignment horizontal="center"/>
    </xf>
    <xf numFmtId="0" fontId="3" fillId="17" borderId="30" xfId="0" applyFont="1" applyFill="1" applyBorder="1" applyAlignment="1">
      <alignment horizontal="center"/>
    </xf>
    <xf numFmtId="0" fontId="3" fillId="17" borderId="31" xfId="0" applyFont="1" applyFill="1" applyBorder="1" applyAlignment="1">
      <alignment horizontal="center"/>
    </xf>
    <xf numFmtId="0" fontId="3" fillId="14" borderId="23" xfId="0" applyFont="1" applyFill="1" applyBorder="1" applyAlignment="1">
      <alignment horizontal="left"/>
    </xf>
    <xf numFmtId="0" fontId="3" fillId="14" borderId="24" xfId="0" applyFont="1" applyFill="1" applyBorder="1" applyAlignment="1">
      <alignment horizontal="left"/>
    </xf>
    <xf numFmtId="0" fontId="11" fillId="0" borderId="70" xfId="2" applyFill="1" applyBorder="1" applyAlignment="1">
      <alignment horizontal="center" vertical="center" wrapText="1"/>
    </xf>
    <xf numFmtId="0" fontId="11" fillId="0" borderId="71" xfId="2" applyFill="1" applyBorder="1" applyAlignment="1">
      <alignment horizontal="center" vertical="center" wrapText="1"/>
    </xf>
    <xf numFmtId="0" fontId="11" fillId="0" borderId="72" xfId="2" applyFill="1" applyBorder="1" applyAlignment="1">
      <alignment horizontal="center" vertical="center" wrapText="1"/>
    </xf>
    <xf numFmtId="0" fontId="11" fillId="0" borderId="27" xfId="2" applyBorder="1" applyAlignment="1">
      <alignment horizontal="center" vertical="center" wrapText="1"/>
    </xf>
    <xf numFmtId="0" fontId="11" fillId="0" borderId="2" xfId="2" applyBorder="1" applyAlignment="1">
      <alignment horizontal="center" vertical="center" wrapText="1"/>
    </xf>
    <xf numFmtId="0" fontId="11" fillId="0" borderId="26" xfId="2" applyBorder="1" applyAlignment="1">
      <alignment horizontal="center" vertical="center" wrapText="1"/>
    </xf>
    <xf numFmtId="0" fontId="11" fillId="0" borderId="31" xfId="2" applyFill="1" applyBorder="1" applyAlignment="1">
      <alignment horizontal="center" vertical="center" wrapText="1"/>
    </xf>
    <xf numFmtId="0" fontId="11" fillId="0" borderId="18" xfId="2" applyFill="1" applyBorder="1" applyAlignment="1">
      <alignment horizontal="center" vertical="center" wrapText="1"/>
    </xf>
    <xf numFmtId="0" fontId="11" fillId="0" borderId="22" xfId="2" applyFill="1" applyBorder="1" applyAlignment="1">
      <alignment horizontal="center" vertical="center" wrapText="1"/>
    </xf>
    <xf numFmtId="0" fontId="0" fillId="16" borderId="11" xfId="0" applyFill="1" applyBorder="1" applyAlignment="1">
      <alignment horizontal="center" wrapText="1"/>
    </xf>
    <xf numFmtId="0" fontId="0" fillId="16" borderId="59" xfId="0" applyFill="1" applyBorder="1" applyAlignment="1">
      <alignment horizontal="center" wrapText="1"/>
    </xf>
    <xf numFmtId="0" fontId="58" fillId="3" borderId="8" xfId="0" applyFont="1" applyFill="1" applyBorder="1" applyAlignment="1">
      <alignment vertical="center" wrapText="1"/>
    </xf>
    <xf numFmtId="0" fontId="58" fillId="3" borderId="58" xfId="0" applyFont="1" applyFill="1" applyBorder="1" applyAlignment="1">
      <alignment vertical="center" wrapText="1"/>
    </xf>
    <xf numFmtId="0" fontId="58" fillId="3" borderId="16" xfId="0" applyFont="1" applyFill="1" applyBorder="1" applyAlignment="1">
      <alignment vertical="center" wrapText="1"/>
    </xf>
    <xf numFmtId="0" fontId="58" fillId="3" borderId="59" xfId="0" applyFont="1" applyFill="1" applyBorder="1" applyAlignment="1">
      <alignment vertical="center" wrapText="1"/>
    </xf>
    <xf numFmtId="0" fontId="25" fillId="2" borderId="6" xfId="0" applyFont="1" applyFill="1" applyBorder="1" applyAlignment="1">
      <alignment horizontal="center" vertical="center" wrapText="1"/>
    </xf>
    <xf numFmtId="0" fontId="25" fillId="2" borderId="7" xfId="0" applyFont="1" applyFill="1" applyBorder="1" applyAlignment="1">
      <alignment horizontal="center" vertical="center" wrapText="1"/>
    </xf>
    <xf numFmtId="0" fontId="25" fillId="2" borderId="60" xfId="0" applyFont="1" applyFill="1" applyBorder="1" applyAlignment="1">
      <alignment horizontal="center" vertical="center" wrapText="1"/>
    </xf>
    <xf numFmtId="0" fontId="5" fillId="11" borderId="13" xfId="0" applyFont="1" applyFill="1" applyBorder="1" applyAlignment="1">
      <alignment horizontal="center" vertical="center"/>
    </xf>
    <xf numFmtId="0" fontId="5" fillId="11" borderId="0" xfId="0" applyFont="1" applyFill="1" applyAlignment="1">
      <alignment horizontal="center" vertical="center"/>
    </xf>
    <xf numFmtId="0" fontId="5" fillId="11" borderId="21" xfId="0" applyFont="1" applyFill="1" applyBorder="1" applyAlignment="1">
      <alignment horizontal="center" vertical="center"/>
    </xf>
    <xf numFmtId="0" fontId="22" fillId="4" borderId="16" xfId="0" applyFont="1" applyFill="1" applyBorder="1" applyAlignment="1">
      <alignment horizontal="center" vertical="center"/>
    </xf>
    <xf numFmtId="0" fontId="22" fillId="4" borderId="12" xfId="0" applyFont="1" applyFill="1" applyBorder="1" applyAlignment="1">
      <alignment horizontal="center" vertical="center"/>
    </xf>
    <xf numFmtId="0" fontId="0" fillId="16" borderId="35" xfId="0" applyFill="1" applyBorder="1" applyAlignment="1">
      <alignment horizontal="center"/>
    </xf>
    <xf numFmtId="0" fontId="0" fillId="16" borderId="36" xfId="0" applyFill="1" applyBorder="1" applyAlignment="1">
      <alignment horizontal="center"/>
    </xf>
    <xf numFmtId="10" fontId="11" fillId="0" borderId="70" xfId="2" applyNumberFormat="1" applyBorder="1" applyAlignment="1">
      <alignment horizontal="center" textRotation="90" wrapText="1"/>
    </xf>
    <xf numFmtId="10" fontId="11" fillId="0" borderId="71" xfId="2" applyNumberFormat="1" applyBorder="1" applyAlignment="1">
      <alignment horizontal="center" textRotation="90" wrapText="1"/>
    </xf>
    <xf numFmtId="10" fontId="11" fillId="0" borderId="72" xfId="2" applyNumberFormat="1" applyBorder="1" applyAlignment="1">
      <alignment horizontal="center" textRotation="90" wrapText="1"/>
    </xf>
    <xf numFmtId="0" fontId="11" fillId="0" borderId="70" xfId="2" applyBorder="1" applyAlignment="1">
      <alignment horizontal="center" textRotation="90" wrapText="1"/>
    </xf>
    <xf numFmtId="0" fontId="11" fillId="0" borderId="71" xfId="2" applyBorder="1" applyAlignment="1">
      <alignment horizontal="center" textRotation="90" wrapText="1"/>
    </xf>
    <xf numFmtId="0" fontId="11" fillId="0" borderId="72" xfId="2" applyBorder="1" applyAlignment="1">
      <alignment horizontal="center" textRotation="90" wrapText="1"/>
    </xf>
    <xf numFmtId="0" fontId="11" fillId="0" borderId="73" xfId="2" applyBorder="1" applyAlignment="1">
      <alignment horizontal="center" vertical="center" wrapText="1"/>
    </xf>
    <xf numFmtId="0" fontId="11" fillId="0" borderId="58" xfId="2" applyBorder="1" applyAlignment="1">
      <alignment horizontal="center" vertical="center" wrapText="1"/>
    </xf>
    <xf numFmtId="0" fontId="11" fillId="0" borderId="74" xfId="2" applyBorder="1" applyAlignment="1">
      <alignment horizontal="center" vertical="center" wrapText="1"/>
    </xf>
    <xf numFmtId="0" fontId="11" fillId="0" borderId="70" xfId="2" applyBorder="1" applyAlignment="1">
      <alignment horizontal="center" vertical="center" wrapText="1"/>
    </xf>
    <xf numFmtId="0" fontId="0" fillId="0" borderId="71" xfId="0" applyBorder="1" applyAlignment="1">
      <alignment horizontal="center" vertical="center" wrapText="1"/>
    </xf>
    <xf numFmtId="0" fontId="0" fillId="0" borderId="72" xfId="0" applyBorder="1" applyAlignment="1">
      <alignment horizontal="center" vertical="center" wrapText="1"/>
    </xf>
    <xf numFmtId="0" fontId="11" fillId="0" borderId="71" xfId="2" applyBorder="1" applyAlignment="1">
      <alignment horizontal="center" vertical="center" wrapText="1"/>
    </xf>
    <xf numFmtId="0" fontId="11" fillId="0" borderId="72" xfId="2" applyBorder="1" applyAlignment="1">
      <alignment horizontal="center" vertical="center" wrapText="1"/>
    </xf>
    <xf numFmtId="0" fontId="34" fillId="35" borderId="17" xfId="0" applyFont="1" applyFill="1" applyBorder="1" applyAlignment="1">
      <alignment horizontal="center"/>
    </xf>
    <xf numFmtId="0" fontId="34" fillId="35" borderId="15" xfId="0" applyFont="1" applyFill="1" applyBorder="1" applyAlignment="1">
      <alignment horizontal="center"/>
    </xf>
    <xf numFmtId="0" fontId="10" fillId="37" borderId="8" xfId="0" applyFont="1" applyFill="1" applyBorder="1" applyAlignment="1">
      <alignment horizontal="center"/>
    </xf>
    <xf numFmtId="0" fontId="10" fillId="37" borderId="0" xfId="0" applyFont="1" applyFill="1" applyAlignment="1">
      <alignment horizontal="center"/>
    </xf>
    <xf numFmtId="0" fontId="34" fillId="15" borderId="27" xfId="0" applyFont="1" applyFill="1" applyBorder="1" applyAlignment="1">
      <alignment horizontal="center" vertical="center"/>
    </xf>
    <xf numFmtId="0" fontId="34" fillId="15" borderId="26" xfId="0" applyFont="1" applyFill="1" applyBorder="1" applyAlignment="1">
      <alignment horizontal="center" vertical="center"/>
    </xf>
    <xf numFmtId="0" fontId="34" fillId="11" borderId="0" xfId="0" applyFont="1" applyFill="1" applyAlignment="1">
      <alignment horizontal="center"/>
    </xf>
    <xf numFmtId="0" fontId="34" fillId="11" borderId="18" xfId="0" applyFont="1" applyFill="1" applyBorder="1" applyAlignment="1">
      <alignment horizontal="center"/>
    </xf>
    <xf numFmtId="0" fontId="37" fillId="13" borderId="45" xfId="0" applyFont="1" applyFill="1" applyBorder="1" applyAlignment="1">
      <alignment horizontal="left" wrapText="1"/>
    </xf>
    <xf numFmtId="0" fontId="37" fillId="13" borderId="43" xfId="0" applyFont="1" applyFill="1" applyBorder="1" applyAlignment="1">
      <alignment horizontal="left" wrapText="1"/>
    </xf>
    <xf numFmtId="0" fontId="37" fillId="13" borderId="48" xfId="0" applyFont="1" applyFill="1" applyBorder="1" applyAlignment="1">
      <alignment horizontal="left" wrapText="1"/>
    </xf>
    <xf numFmtId="0" fontId="37" fillId="13" borderId="46" xfId="0" applyFont="1" applyFill="1" applyBorder="1" applyAlignment="1">
      <alignment horizontal="left" wrapText="1"/>
    </xf>
    <xf numFmtId="0" fontId="37" fillId="13" borderId="0" xfId="0" applyFont="1" applyFill="1" applyAlignment="1">
      <alignment horizontal="left" wrapText="1"/>
    </xf>
    <xf numFmtId="0" fontId="37" fillId="13" borderId="49" xfId="0" applyFont="1" applyFill="1" applyBorder="1" applyAlignment="1">
      <alignment horizontal="left" wrapText="1"/>
    </xf>
    <xf numFmtId="0" fontId="37" fillId="13" borderId="47" xfId="0" applyFont="1" applyFill="1" applyBorder="1" applyAlignment="1">
      <alignment horizontal="left" wrapText="1"/>
    </xf>
    <xf numFmtId="0" fontId="37" fillId="13" borderId="44" xfId="0" applyFont="1" applyFill="1" applyBorder="1" applyAlignment="1">
      <alignment horizontal="left" wrapText="1"/>
    </xf>
    <xf numFmtId="0" fontId="37" fillId="13" borderId="50" xfId="0" applyFont="1" applyFill="1" applyBorder="1" applyAlignment="1">
      <alignment horizontal="left" wrapText="1"/>
    </xf>
  </cellXfs>
  <cellStyles count="7">
    <cellStyle name="20% - Accent1" xfId="3" builtinId="30"/>
    <cellStyle name="40% - Accent4" xfId="5" builtinId="43"/>
    <cellStyle name="60% - Accent6" xfId="6" builtinId="52"/>
    <cellStyle name="Bad" xfId="4" builtinId="27"/>
    <cellStyle name="Hyperlink" xfId="2" builtinId="8"/>
    <cellStyle name="Normal" xfId="0" builtinId="0"/>
    <cellStyle name="Normal 2" xfId="1" xr:uid="{8912E9CD-6113-944B-AFDB-EA6FB02D61BC}"/>
  </cellStyles>
  <dxfs count="3451">
    <dxf>
      <font>
        <sz val="11"/>
      </font>
      <alignment horizontal="center"/>
    </dxf>
    <dxf>
      <font>
        <sz val="11"/>
      </font>
      <alignment horizontal="center"/>
    </dxf>
    <dxf>
      <font>
        <sz val="11"/>
      </font>
      <alignment horizontal="cent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sz val="11"/>
      </font>
      <fill>
        <patternFill patternType="none"/>
      </fill>
    </dxf>
    <dxf>
      <font>
        <sz val="11"/>
      </font>
    </dxf>
    <dxf>
      <font>
        <sz val="11"/>
      </font>
    </dxf>
    <dxf>
      <font>
        <b/>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color rgb="FFFF0000"/>
      </font>
      <fill>
        <patternFill patternType="solid">
          <bgColor theme="2"/>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FF0000"/>
      </font>
      <fill>
        <patternFill patternType="solid">
          <bgColor theme="2"/>
        </patternFill>
      </fill>
    </dxf>
    <dxf>
      <font>
        <color rgb="FFFF0000"/>
      </font>
      <fill>
        <patternFill patternType="solid">
          <bgColor theme="2"/>
        </patternFill>
      </fill>
    </dxf>
    <dxf>
      <font>
        <color rgb="FFFF0000"/>
      </font>
      <fill>
        <patternFill patternType="solid">
          <bgColor theme="2"/>
        </patternFill>
      </fill>
    </dxf>
    <dxf>
      <font>
        <color rgb="FFFF0000"/>
      </font>
      <fill>
        <patternFill patternType="solid">
          <bgColor theme="2"/>
        </patternFill>
      </fill>
    </dxf>
    <dxf>
      <font>
        <color rgb="FFFF0000"/>
      </font>
      <fill>
        <patternFill patternType="solid">
          <bgColor theme="2"/>
        </patternFill>
      </fill>
    </dxf>
    <dxf>
      <font>
        <color theme="2"/>
      </font>
      <fill>
        <patternFill patternType="solid">
          <bgColor theme="2"/>
        </patternFill>
      </fill>
    </dxf>
    <dxf>
      <font>
        <color theme="1" tint="0.499984740745262"/>
      </font>
      <fill>
        <patternFill>
          <bgColor theme="1" tint="0.499984740745262"/>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
      <font>
        <color rgb="FF92D093"/>
      </font>
      <fill>
        <patternFill>
          <bgColor rgb="FF92D093"/>
        </patternFill>
      </fill>
    </dxf>
    <dxf>
      <font>
        <color rgb="FFFFC000"/>
      </font>
      <fill>
        <patternFill>
          <bgColor rgb="FFFFC000"/>
        </patternFill>
      </fill>
    </dxf>
    <dxf>
      <font>
        <color rgb="FFC00000"/>
      </font>
      <fill>
        <patternFill>
          <bgColor rgb="FFC00000"/>
        </patternFill>
      </fill>
    </dxf>
    <dxf>
      <font>
        <color rgb="FFC00000"/>
      </font>
      <fill>
        <patternFill>
          <bgColor rgb="FFC00000"/>
        </patternFill>
      </fill>
    </dxf>
  </dxfs>
  <tableStyles count="1" defaultTableStyle="TableStyleMedium2" defaultPivotStyle="PivotStyleLight16">
    <tableStyle name="Invisible" pivot="0" table="0" count="0" xr9:uid="{46D6010D-A651-451F-8025-5B21659444CB}"/>
  </tableStyles>
  <colors>
    <mruColors>
      <color rgb="FFFFBF8A"/>
      <color rgb="FF92D093"/>
      <color rgb="FF2731F5"/>
      <color rgb="FFF9C000"/>
      <color rgb="FFED87F5"/>
      <color rgb="FF000000"/>
      <color rgb="FFC00000"/>
      <color rgb="FFD24F3C"/>
      <color rgb="FF63BE7B"/>
      <color rgb="FFF8696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'Maturity Assessment (Summary)'!$T$33</c:f>
              <c:strCache>
                <c:ptCount val="1"/>
                <c:pt idx="0">
                  <c:v>Gap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'Maturity Assessment (Summary)'!$U$32:$Y$32</c:f>
              <c:strCache>
                <c:ptCount val="5"/>
                <c:pt idx="0">
                  <c:v>Layer 0</c:v>
                </c:pt>
                <c:pt idx="1">
                  <c:v>Layer 1</c:v>
                </c:pt>
                <c:pt idx="2">
                  <c:v>Layer 2</c:v>
                </c:pt>
                <c:pt idx="3">
                  <c:v>Layer 3</c:v>
                </c:pt>
                <c:pt idx="4">
                  <c:v>Layer 4</c:v>
                </c:pt>
              </c:strCache>
            </c:strRef>
          </c:cat>
          <c:val>
            <c:numRef>
              <c:f>'Maturity Assessment (Summary)'!$U$33:$Y$33</c:f>
              <c:numCache>
                <c:formatCode>0%</c:formatCode>
                <c:ptCount val="5"/>
                <c:pt idx="0">
                  <c:v>0.83333333333333337</c:v>
                </c:pt>
                <c:pt idx="1">
                  <c:v>0.5714285714285714</c:v>
                </c:pt>
                <c:pt idx="2">
                  <c:v>1</c:v>
                </c:pt>
                <c:pt idx="3">
                  <c:v>1</c:v>
                </c:pt>
                <c:pt idx="4">
                  <c:v>1</c:v>
                </c:pt>
              </c:numCache>
            </c:numRef>
          </c:val>
          <c:extLst>
            <c:ext xmlns:c16="http://schemas.microsoft.com/office/drawing/2014/chart" uri="{C3380CC4-5D6E-409C-BE32-E72D297353CC}">
              <c16:uniqueId val="{00000000-C21D-446C-A340-5D419E043AC1}"/>
            </c:ext>
          </c:extLst>
        </c:ser>
        <c:dLbls>
          <c:showLegendKey val="0"/>
          <c:showVal val="0"/>
          <c:showCatName val="0"/>
          <c:showSerName val="0"/>
          <c:showPercent val="0"/>
          <c:showBubbleSize val="0"/>
        </c:dLbls>
        <c:gapWidth val="69"/>
        <c:axId val="515226119"/>
        <c:axId val="1662912519"/>
      </c:barChart>
      <c:catAx>
        <c:axId val="515226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2912519"/>
        <c:crosses val="autoZero"/>
        <c:auto val="1"/>
        <c:lblAlgn val="ctr"/>
        <c:lblOffset val="100"/>
        <c:noMultiLvlLbl val="0"/>
      </c:catAx>
      <c:valAx>
        <c:axId val="1662912519"/>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226119"/>
        <c:crosses val="autoZero"/>
        <c:crossBetween val="between"/>
        <c:majorUnit val="0.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'Maturity Assessment (Summary)'!$AB$33</c:f>
              <c:strCache>
                <c:ptCount val="1"/>
                <c:pt idx="0">
                  <c:v>Gap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'Maturity Assessment (Summary)'!$AC$32:$AG$32</c:f>
              <c:strCache>
                <c:ptCount val="5"/>
                <c:pt idx="0">
                  <c:v>Layer 0</c:v>
                </c:pt>
                <c:pt idx="1">
                  <c:v>Layer 1</c:v>
                </c:pt>
                <c:pt idx="2">
                  <c:v>Layer 2</c:v>
                </c:pt>
                <c:pt idx="3">
                  <c:v>Layer 3</c:v>
                </c:pt>
                <c:pt idx="4">
                  <c:v>Layer 4</c:v>
                </c:pt>
              </c:strCache>
            </c:strRef>
          </c:cat>
          <c:val>
            <c:numRef>
              <c:f>'Maturity Assessment (Summary)'!$AC$33:$AG$33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4E92E4AC-2B29-4DCE-AB82-AD14AF8E9CAA}"/>
            </c:ext>
          </c:extLst>
        </c:ser>
        <c:dLbls>
          <c:showLegendKey val="0"/>
          <c:showVal val="0"/>
          <c:showCatName val="0"/>
          <c:showSerName val="0"/>
          <c:showPercent val="0"/>
          <c:showBubbleSize val="0"/>
        </c:dLbls>
        <c:gapWidth val="69"/>
        <c:overlap val="-30"/>
        <c:axId val="868513799"/>
        <c:axId val="1806499336"/>
      </c:barChart>
      <c:catAx>
        <c:axId val="868513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06499336"/>
        <c:crosses val="autoZero"/>
        <c:auto val="1"/>
        <c:lblAlgn val="ctr"/>
        <c:lblOffset val="100"/>
        <c:noMultiLvlLbl val="0"/>
      </c:catAx>
      <c:valAx>
        <c:axId val="180649933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513799"/>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'Maturity Assessment (Summary)'!$AJ$33</c:f>
              <c:strCache>
                <c:ptCount val="1"/>
                <c:pt idx="0">
                  <c:v>Gap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'Maturity Assessment (Summary)'!$AK$32:$AO$32</c:f>
              <c:strCache>
                <c:ptCount val="5"/>
                <c:pt idx="0">
                  <c:v>Layer 0</c:v>
                </c:pt>
                <c:pt idx="1">
                  <c:v>Layer 1</c:v>
                </c:pt>
                <c:pt idx="2">
                  <c:v>Layer 2</c:v>
                </c:pt>
                <c:pt idx="3">
                  <c:v>Layer 3</c:v>
                </c:pt>
                <c:pt idx="4">
                  <c:v>Layer 4</c:v>
                </c:pt>
              </c:strCache>
            </c:strRef>
          </c:cat>
          <c:val>
            <c:numRef>
              <c:f>'Maturity Assessment (Summary)'!$AK$33:$AO$33</c:f>
              <c:numCache>
                <c:formatCode>0%</c:formatCode>
                <c:ptCount val="5"/>
                <c:pt idx="0">
                  <c:v>0.83333333333333337</c:v>
                </c:pt>
                <c:pt idx="1">
                  <c:v>0</c:v>
                </c:pt>
                <c:pt idx="2">
                  <c:v>0</c:v>
                </c:pt>
                <c:pt idx="3">
                  <c:v>0</c:v>
                </c:pt>
                <c:pt idx="4">
                  <c:v>0.5714285714285714</c:v>
                </c:pt>
              </c:numCache>
            </c:numRef>
          </c:val>
          <c:extLst>
            <c:ext xmlns:c16="http://schemas.microsoft.com/office/drawing/2014/chart" uri="{C3380CC4-5D6E-409C-BE32-E72D297353CC}">
              <c16:uniqueId val="{8207814C-8445-4C7B-9B9E-4CF0CEC4744A}"/>
            </c:ext>
          </c:extLst>
        </c:ser>
        <c:dLbls>
          <c:showLegendKey val="0"/>
          <c:showVal val="0"/>
          <c:showCatName val="0"/>
          <c:showSerName val="0"/>
          <c:showPercent val="0"/>
          <c:showBubbleSize val="0"/>
        </c:dLbls>
        <c:gapWidth val="33"/>
        <c:overlap val="-30"/>
        <c:axId val="1224885767"/>
        <c:axId val="1224920583"/>
      </c:barChart>
      <c:catAx>
        <c:axId val="1224885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24920583"/>
        <c:crosses val="autoZero"/>
        <c:auto val="1"/>
        <c:lblAlgn val="ctr"/>
        <c:lblOffset val="100"/>
        <c:noMultiLvlLbl val="0"/>
      </c:catAx>
      <c:valAx>
        <c:axId val="1224920583"/>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885767"/>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'Maturity Assessment (Summary)'!$AR$33</c:f>
              <c:strCache>
                <c:ptCount val="1"/>
                <c:pt idx="0">
                  <c:v>Gap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'Maturity Assessment (Summary)'!$AS$32:$AW$32</c:f>
              <c:strCache>
                <c:ptCount val="5"/>
                <c:pt idx="0">
                  <c:v>Layer 0</c:v>
                </c:pt>
                <c:pt idx="1">
                  <c:v>Layer 1</c:v>
                </c:pt>
                <c:pt idx="2">
                  <c:v>Layer 2</c:v>
                </c:pt>
                <c:pt idx="3">
                  <c:v>Layer 3</c:v>
                </c:pt>
                <c:pt idx="4">
                  <c:v>Layer 4</c:v>
                </c:pt>
              </c:strCache>
            </c:strRef>
          </c:cat>
          <c:val>
            <c:numRef>
              <c:f>'Maturity Assessment (Summary)'!$AS$33:$AW$33</c:f>
              <c:numCache>
                <c:formatCode>0%</c:formatCode>
                <c:ptCount val="5"/>
                <c:pt idx="0">
                  <c:v>1</c:v>
                </c:pt>
                <c:pt idx="1">
                  <c:v>0.42857142857142855</c:v>
                </c:pt>
                <c:pt idx="2">
                  <c:v>1</c:v>
                </c:pt>
                <c:pt idx="3">
                  <c:v>0</c:v>
                </c:pt>
                <c:pt idx="4">
                  <c:v>0.42857142857142855</c:v>
                </c:pt>
              </c:numCache>
            </c:numRef>
          </c:val>
          <c:extLst>
            <c:ext xmlns:c16="http://schemas.microsoft.com/office/drawing/2014/chart" uri="{C3380CC4-5D6E-409C-BE32-E72D297353CC}">
              <c16:uniqueId val="{EBFD7C81-2E76-49A8-B27E-DA187F6E19B1}"/>
            </c:ext>
          </c:extLst>
        </c:ser>
        <c:dLbls>
          <c:showLegendKey val="0"/>
          <c:showVal val="0"/>
          <c:showCatName val="0"/>
          <c:showSerName val="0"/>
          <c:showPercent val="0"/>
          <c:showBubbleSize val="0"/>
        </c:dLbls>
        <c:gapWidth val="33"/>
        <c:overlap val="-30"/>
        <c:axId val="1237972999"/>
        <c:axId val="1272602631"/>
      </c:barChart>
      <c:catAx>
        <c:axId val="1237972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72602631"/>
        <c:crosses val="autoZero"/>
        <c:auto val="1"/>
        <c:lblAlgn val="ctr"/>
        <c:lblOffset val="100"/>
        <c:noMultiLvlLbl val="0"/>
      </c:catAx>
      <c:valAx>
        <c:axId val="12726026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7972999"/>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'Maturity Assessment (Summary)'!$AZ$33</c:f>
              <c:strCache>
                <c:ptCount val="1"/>
                <c:pt idx="0">
                  <c:v>Gap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'Maturity Assessment (Summary)'!$BA$32:$BE$32</c:f>
              <c:strCache>
                <c:ptCount val="5"/>
                <c:pt idx="0">
                  <c:v>Layer 0</c:v>
                </c:pt>
                <c:pt idx="1">
                  <c:v>Layer 1</c:v>
                </c:pt>
                <c:pt idx="2">
                  <c:v>Layer 2</c:v>
                </c:pt>
                <c:pt idx="3">
                  <c:v>Layer 3</c:v>
                </c:pt>
                <c:pt idx="4">
                  <c:v>Layer 4</c:v>
                </c:pt>
              </c:strCache>
            </c:strRef>
          </c:cat>
          <c:val>
            <c:numRef>
              <c:f>'Maturity Assessment (Summary)'!$BA$33:$BE$33</c:f>
              <c:numCache>
                <c:formatCode>0%</c:formatCode>
                <c:ptCount val="5"/>
                <c:pt idx="0">
                  <c:v>0.83333333333333337</c:v>
                </c:pt>
                <c:pt idx="1">
                  <c:v>0</c:v>
                </c:pt>
                <c:pt idx="2">
                  <c:v>0.2857142857142857</c:v>
                </c:pt>
                <c:pt idx="3">
                  <c:v>0.1</c:v>
                </c:pt>
                <c:pt idx="4">
                  <c:v>0.42857142857142855</c:v>
                </c:pt>
              </c:numCache>
            </c:numRef>
          </c:val>
          <c:extLst>
            <c:ext xmlns:c16="http://schemas.microsoft.com/office/drawing/2014/chart" uri="{C3380CC4-5D6E-409C-BE32-E72D297353CC}">
              <c16:uniqueId val="{C4A1962A-10CE-4162-8ECA-75E364CC5D35}"/>
            </c:ext>
          </c:extLst>
        </c:ser>
        <c:dLbls>
          <c:showLegendKey val="0"/>
          <c:showVal val="0"/>
          <c:showCatName val="0"/>
          <c:showSerName val="0"/>
          <c:showPercent val="0"/>
          <c:showBubbleSize val="0"/>
        </c:dLbls>
        <c:gapWidth val="33"/>
        <c:overlap val="-30"/>
        <c:axId val="1186408456"/>
        <c:axId val="1186432008"/>
      </c:barChart>
      <c:catAx>
        <c:axId val="1186408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6432008"/>
        <c:crosses val="autoZero"/>
        <c:auto val="1"/>
        <c:lblAlgn val="ctr"/>
        <c:lblOffset val="100"/>
        <c:noMultiLvlLbl val="0"/>
      </c:catAx>
      <c:valAx>
        <c:axId val="118643200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40845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JIRA Progress</a:t>
            </a:r>
          </a:p>
        </c:rich>
      </c:tx>
      <c:layout>
        <c:manualLayout>
          <c:xMode val="edge"/>
          <c:yMode val="edge"/>
          <c:x val="0.45555689023168455"/>
          <c:y val="3.4040238520330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 Created</c:v>
          </c:tx>
          <c:spPr>
            <a:solidFill>
              <a:srgbClr val="00B0F0"/>
            </a:solidFill>
            <a:ln w="28575">
              <a:solidFill>
                <a:srgbClr val="00B0F0"/>
              </a:solidFill>
              <a:prstDash val="soli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(Summary)'!$G$21:$K$21</c:f>
              <c:strCache>
                <c:ptCount val="5"/>
                <c:pt idx="0">
                  <c:v>Layer 0</c:v>
                </c:pt>
                <c:pt idx="1">
                  <c:v>Layer 1</c:v>
                </c:pt>
                <c:pt idx="2">
                  <c:v>Layer 2</c:v>
                </c:pt>
                <c:pt idx="3">
                  <c:v>Layer 3</c:v>
                </c:pt>
                <c:pt idx="4">
                  <c:v>Layer 4</c:v>
                </c:pt>
              </c:strCache>
            </c:strRef>
          </c:cat>
          <c:val>
            <c:numRef>
              <c:f>'Maturity Assessment (Summary)'!$G$22:$K$22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4C8B3B15-6CBB-4E32-9511-71EE1E49D435}"/>
            </c:ext>
          </c:extLst>
        </c:ser>
        <c:ser>
          <c:idx val="2"/>
          <c:order val="1"/>
          <c:tx>
            <c:v> In Progress</c:v>
          </c:tx>
          <c:spPr>
            <a:solidFill>
              <a:srgbClr val="FFE699"/>
            </a:solidFill>
            <a:ln>
              <a:solidFill>
                <a:srgbClr val="000000"/>
              </a:solidFill>
              <a:prstDash val="soli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(Summary)'!$G$21:$K$21</c:f>
              <c:strCache>
                <c:ptCount val="5"/>
                <c:pt idx="0">
                  <c:v>Layer 0</c:v>
                </c:pt>
                <c:pt idx="1">
                  <c:v>Layer 1</c:v>
                </c:pt>
                <c:pt idx="2">
                  <c:v>Layer 2</c:v>
                </c:pt>
                <c:pt idx="3">
                  <c:v>Layer 3</c:v>
                </c:pt>
                <c:pt idx="4">
                  <c:v>Layer 4</c:v>
                </c:pt>
              </c:strCache>
            </c:strRef>
          </c:cat>
          <c:val>
            <c:numRef>
              <c:f>'Maturity Assessment (Summary)'!$G$23:$K$23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6E9B-4F90-BB10-CF926F0E1568}"/>
            </c:ext>
          </c:extLst>
        </c:ser>
        <c:ser>
          <c:idx val="1"/>
          <c:order val="2"/>
          <c:tx>
            <c:v> Closed</c:v>
          </c:tx>
          <c:spPr>
            <a:solidFill>
              <a:srgbClr val="00B050"/>
            </a:solidFill>
            <a:ln w="28575">
              <a:solidFill>
                <a:srgbClr val="00B050"/>
              </a:solidFill>
              <a:prstDash val="soli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(Summary)'!$G$21:$K$21</c:f>
              <c:strCache>
                <c:ptCount val="5"/>
                <c:pt idx="0">
                  <c:v>Layer 0</c:v>
                </c:pt>
                <c:pt idx="1">
                  <c:v>Layer 1</c:v>
                </c:pt>
                <c:pt idx="2">
                  <c:v>Layer 2</c:v>
                </c:pt>
                <c:pt idx="3">
                  <c:v>Layer 3</c:v>
                </c:pt>
                <c:pt idx="4">
                  <c:v>Layer 4</c:v>
                </c:pt>
              </c:strCache>
            </c:strRef>
          </c:cat>
          <c:val>
            <c:numRef>
              <c:f>'Maturity Assessment (Summary)'!$G$24:$K$24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6-ABA4-4F82-9AF4-ABD97082D752}"/>
            </c:ext>
          </c:extLst>
        </c:ser>
        <c:dLbls>
          <c:showLegendKey val="0"/>
          <c:showVal val="0"/>
          <c:showCatName val="0"/>
          <c:showSerName val="0"/>
          <c:showPercent val="0"/>
          <c:showBubbleSize val="0"/>
        </c:dLbls>
        <c:gapWidth val="150"/>
        <c:axId val="2131949064"/>
        <c:axId val="89589767"/>
      </c:barChart>
      <c:catAx>
        <c:axId val="2131949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808080"/>
                </a:solidFill>
                <a:latin typeface="+mn-lt"/>
                <a:ea typeface="+mn-ea"/>
                <a:cs typeface="+mn-cs"/>
              </a:defRPr>
            </a:pPr>
            <a:endParaRPr lang="en-US"/>
          </a:p>
        </c:txPr>
        <c:crossAx val="89589767"/>
        <c:crosses val="autoZero"/>
        <c:auto val="1"/>
        <c:lblAlgn val="ctr"/>
        <c:lblOffset val="100"/>
        <c:noMultiLvlLbl val="0"/>
      </c:catAx>
      <c:valAx>
        <c:axId val="89589767"/>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213194906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Gap (%) by Services</a:t>
            </a:r>
          </a:p>
        </c:rich>
      </c:tx>
      <c:layout>
        <c:manualLayout>
          <c:xMode val="edge"/>
          <c:yMode val="edge"/>
          <c:x val="0.37345915202439972"/>
          <c:y val="3.262968781546537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'Maturity Assessment (Summary)'!$G$4</c:f>
              <c:strCache>
                <c:ptCount val="1"/>
                <c:pt idx="0">
                  <c:v>Layer 0</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(Summary)'!$F$5:$F$14</c:f>
              <c:strCache>
                <c:ptCount val="10"/>
                <c:pt idx="0">
                  <c:v>Bryte Activation</c:v>
                </c:pt>
                <c:pt idx="1">
                  <c:v>Intent Classifier And Entity Recognition</c:v>
                </c:pt>
                <c:pt idx="2">
                  <c:v>Skills</c:v>
                </c:pt>
                <c:pt idx="3">
                  <c:v>DSAAS</c:v>
                </c:pt>
                <c:pt idx="4">
                  <c:v>RAG</c:v>
                </c:pt>
                <c:pt idx="5">
                  <c:v>Agent Framework</c:v>
                </c:pt>
                <c:pt idx="6">
                  <c:v>URIKA</c:v>
                </c:pt>
                <c:pt idx="7">
                  <c:v>Mission Control</c:v>
                </c:pt>
                <c:pt idx="8">
                  <c:v>UKG GPT</c:v>
                </c:pt>
                <c:pt idx="9">
                  <c:v>GPTW/DEIB</c:v>
                </c:pt>
              </c:strCache>
            </c:strRef>
          </c:cat>
          <c:val>
            <c:numRef>
              <c:f>'Maturity Assessment (Summary)'!$G$5:$G$14</c:f>
              <c:numCache>
                <c:formatCode>0%</c:formatCode>
                <c:ptCount val="10"/>
                <c:pt idx="0">
                  <c:v>0.83333333333333337</c:v>
                </c:pt>
                <c:pt idx="1">
                  <c:v>0</c:v>
                </c:pt>
                <c:pt idx="2">
                  <c:v>0.83333333333333337</c:v>
                </c:pt>
                <c:pt idx="3">
                  <c:v>1</c:v>
                </c:pt>
                <c:pt idx="4">
                  <c:v>0.83333333333333337</c:v>
                </c:pt>
                <c:pt idx="5">
                  <c:v>1</c:v>
                </c:pt>
                <c:pt idx="6">
                  <c:v>0</c:v>
                </c:pt>
                <c:pt idx="7">
                  <c:v>0</c:v>
                </c:pt>
                <c:pt idx="8">
                  <c:v>0</c:v>
                </c:pt>
                <c:pt idx="9">
                  <c:v>0</c:v>
                </c:pt>
              </c:numCache>
            </c:numRef>
          </c:val>
          <c:smooth val="0"/>
          <c:extLst>
            <c:ext xmlns:c16="http://schemas.microsoft.com/office/drawing/2014/chart" uri="{C3380CC4-5D6E-409C-BE32-E72D297353CC}">
              <c16:uniqueId val="{DEEA44D3-D953-4135-B69F-22E22F0D748C}"/>
            </c:ext>
          </c:extLst>
        </c:ser>
        <c:ser>
          <c:idx val="1"/>
          <c:order val="1"/>
          <c:tx>
            <c:strRef>
              <c:f>'Maturity Assessment (Summary)'!$H$4</c:f>
              <c:strCache>
                <c:ptCount val="1"/>
                <c:pt idx="0">
                  <c:v>Layer 1</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(Summary)'!$F$5:$F$14</c:f>
              <c:strCache>
                <c:ptCount val="10"/>
                <c:pt idx="0">
                  <c:v>Bryte Activation</c:v>
                </c:pt>
                <c:pt idx="1">
                  <c:v>Intent Classifier And Entity Recognition</c:v>
                </c:pt>
                <c:pt idx="2">
                  <c:v>Skills</c:v>
                </c:pt>
                <c:pt idx="3">
                  <c:v>DSAAS</c:v>
                </c:pt>
                <c:pt idx="4">
                  <c:v>RAG</c:v>
                </c:pt>
                <c:pt idx="5">
                  <c:v>Agent Framework</c:v>
                </c:pt>
                <c:pt idx="6">
                  <c:v>URIKA</c:v>
                </c:pt>
                <c:pt idx="7">
                  <c:v>Mission Control</c:v>
                </c:pt>
                <c:pt idx="8">
                  <c:v>UKG GPT</c:v>
                </c:pt>
                <c:pt idx="9">
                  <c:v>GPTW/DEIB</c:v>
                </c:pt>
              </c:strCache>
            </c:strRef>
          </c:cat>
          <c:val>
            <c:numRef>
              <c:f>'Maturity Assessment (Summary)'!$H$5:$H$14</c:f>
              <c:numCache>
                <c:formatCode>0%</c:formatCode>
                <c:ptCount val="10"/>
                <c:pt idx="0">
                  <c:v>0.5714285714285714</c:v>
                </c:pt>
                <c:pt idx="1">
                  <c:v>0</c:v>
                </c:pt>
                <c:pt idx="2">
                  <c:v>0</c:v>
                </c:pt>
                <c:pt idx="3">
                  <c:v>0.42857142857142855</c:v>
                </c:pt>
                <c:pt idx="4">
                  <c:v>0</c:v>
                </c:pt>
                <c:pt idx="5">
                  <c:v>0.42857142857142855</c:v>
                </c:pt>
                <c:pt idx="6">
                  <c:v>0</c:v>
                </c:pt>
                <c:pt idx="7">
                  <c:v>0</c:v>
                </c:pt>
                <c:pt idx="8">
                  <c:v>0</c:v>
                </c:pt>
                <c:pt idx="9">
                  <c:v>0.75</c:v>
                </c:pt>
              </c:numCache>
            </c:numRef>
          </c:val>
          <c:smooth val="0"/>
          <c:extLst>
            <c:ext xmlns:c16="http://schemas.microsoft.com/office/drawing/2014/chart" uri="{C3380CC4-5D6E-409C-BE32-E72D297353CC}">
              <c16:uniqueId val="{20DB8751-7495-46C0-A0C6-6B59E1D05D01}"/>
            </c:ext>
          </c:extLst>
        </c:ser>
        <c:ser>
          <c:idx val="2"/>
          <c:order val="2"/>
          <c:tx>
            <c:strRef>
              <c:f>'Maturity Assessment (Summary)'!$I$4</c:f>
              <c:strCache>
                <c:ptCount val="1"/>
                <c:pt idx="0">
                  <c:v>Layer 2</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(Summary)'!$F$5:$F$14</c:f>
              <c:strCache>
                <c:ptCount val="10"/>
                <c:pt idx="0">
                  <c:v>Bryte Activation</c:v>
                </c:pt>
                <c:pt idx="1">
                  <c:v>Intent Classifier And Entity Recognition</c:v>
                </c:pt>
                <c:pt idx="2">
                  <c:v>Skills</c:v>
                </c:pt>
                <c:pt idx="3">
                  <c:v>DSAAS</c:v>
                </c:pt>
                <c:pt idx="4">
                  <c:v>RAG</c:v>
                </c:pt>
                <c:pt idx="5">
                  <c:v>Agent Framework</c:v>
                </c:pt>
                <c:pt idx="6">
                  <c:v>URIKA</c:v>
                </c:pt>
                <c:pt idx="7">
                  <c:v>Mission Control</c:v>
                </c:pt>
                <c:pt idx="8">
                  <c:v>UKG GPT</c:v>
                </c:pt>
                <c:pt idx="9">
                  <c:v>GPTW/DEIB</c:v>
                </c:pt>
              </c:strCache>
            </c:strRef>
          </c:cat>
          <c:val>
            <c:numRef>
              <c:f>'Maturity Assessment (Summary)'!$I$5:$I$14</c:f>
              <c:numCache>
                <c:formatCode>0%</c:formatCode>
                <c:ptCount val="10"/>
                <c:pt idx="0">
                  <c:v>1</c:v>
                </c:pt>
                <c:pt idx="1">
                  <c:v>0</c:v>
                </c:pt>
                <c:pt idx="2">
                  <c:v>0</c:v>
                </c:pt>
                <c:pt idx="3">
                  <c:v>1</c:v>
                </c:pt>
                <c:pt idx="4">
                  <c:v>0.2857142857142857</c:v>
                </c:pt>
                <c:pt idx="5">
                  <c:v>0.42857142857142855</c:v>
                </c:pt>
                <c:pt idx="6">
                  <c:v>0</c:v>
                </c:pt>
                <c:pt idx="7">
                  <c:v>0</c:v>
                </c:pt>
                <c:pt idx="8">
                  <c:v>0</c:v>
                </c:pt>
                <c:pt idx="9">
                  <c:v>0</c:v>
                </c:pt>
              </c:numCache>
            </c:numRef>
          </c:val>
          <c:smooth val="0"/>
          <c:extLst>
            <c:ext xmlns:c16="http://schemas.microsoft.com/office/drawing/2014/chart" uri="{C3380CC4-5D6E-409C-BE32-E72D297353CC}">
              <c16:uniqueId val="{0000000D-8FCB-4EFE-B2B0-FCCD6D95C16D}"/>
            </c:ext>
          </c:extLst>
        </c:ser>
        <c:dLbls>
          <c:showLegendKey val="0"/>
          <c:showVal val="0"/>
          <c:showCatName val="0"/>
          <c:showSerName val="0"/>
          <c:showPercent val="0"/>
          <c:showBubbleSize val="0"/>
        </c:dLbls>
        <c:smooth val="0"/>
        <c:axId val="1090159623"/>
        <c:axId val="1090161671"/>
      </c:lineChart>
      <c:catAx>
        <c:axId val="1090159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808080"/>
                </a:solidFill>
                <a:latin typeface="+mn-lt"/>
                <a:ea typeface="+mn-ea"/>
                <a:cs typeface="+mn-cs"/>
              </a:defRPr>
            </a:pPr>
            <a:endParaRPr lang="en-US"/>
          </a:p>
        </c:txPr>
        <c:crossAx val="1090161671"/>
        <c:crosses val="autoZero"/>
        <c:auto val="1"/>
        <c:lblAlgn val="ctr"/>
        <c:lblOffset val="100"/>
        <c:noMultiLvlLbl val="0"/>
      </c:catAx>
      <c:valAx>
        <c:axId val="1090161671"/>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09015962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Gap (%) by Services</a:t>
            </a:r>
          </a:p>
        </c:rich>
      </c:tx>
      <c:layout>
        <c:manualLayout>
          <c:xMode val="edge"/>
          <c:yMode val="edge"/>
          <c:x val="0.37345915202439972"/>
          <c:y val="3.262968781546537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'Maturity Assessment (Summary)'!$J$4</c:f>
              <c:strCache>
                <c:ptCount val="1"/>
                <c:pt idx="0">
                  <c:v>Layer 3</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(Summary)'!$F$5:$F$14</c:f>
              <c:strCache>
                <c:ptCount val="10"/>
                <c:pt idx="0">
                  <c:v>Bryte Activation</c:v>
                </c:pt>
                <c:pt idx="1">
                  <c:v>Intent Classifier And Entity Recognition</c:v>
                </c:pt>
                <c:pt idx="2">
                  <c:v>Skills</c:v>
                </c:pt>
                <c:pt idx="3">
                  <c:v>DSAAS</c:v>
                </c:pt>
                <c:pt idx="4">
                  <c:v>RAG</c:v>
                </c:pt>
                <c:pt idx="5">
                  <c:v>Agent Framework</c:v>
                </c:pt>
                <c:pt idx="6">
                  <c:v>URIKA</c:v>
                </c:pt>
                <c:pt idx="7">
                  <c:v>Mission Control</c:v>
                </c:pt>
                <c:pt idx="8">
                  <c:v>UKG GPT</c:v>
                </c:pt>
                <c:pt idx="9">
                  <c:v>GPTW/DEIB</c:v>
                </c:pt>
              </c:strCache>
            </c:strRef>
          </c:cat>
          <c:val>
            <c:numRef>
              <c:f>'Maturity Assessment (Summary)'!$J$5:$J$14</c:f>
              <c:numCache>
                <c:formatCode>0%</c:formatCode>
                <c:ptCount val="10"/>
                <c:pt idx="0">
                  <c:v>1</c:v>
                </c:pt>
                <c:pt idx="1">
                  <c:v>0</c:v>
                </c:pt>
                <c:pt idx="2">
                  <c:v>0</c:v>
                </c:pt>
                <c:pt idx="3">
                  <c:v>0</c:v>
                </c:pt>
                <c:pt idx="4">
                  <c:v>0.1</c:v>
                </c:pt>
                <c:pt idx="5">
                  <c:v>1</c:v>
                </c:pt>
                <c:pt idx="6">
                  <c:v>0.25</c:v>
                </c:pt>
                <c:pt idx="7">
                  <c:v>0</c:v>
                </c:pt>
                <c:pt idx="8">
                  <c:v>0</c:v>
                </c:pt>
                <c:pt idx="9">
                  <c:v>4</c:v>
                </c:pt>
              </c:numCache>
            </c:numRef>
          </c:val>
          <c:smooth val="0"/>
          <c:extLst>
            <c:ext xmlns:c16="http://schemas.microsoft.com/office/drawing/2014/chart" uri="{C3380CC4-5D6E-409C-BE32-E72D297353CC}">
              <c16:uniqueId val="{00000000-497D-4DF8-BB03-A7AB41CD881B}"/>
            </c:ext>
          </c:extLst>
        </c:ser>
        <c:ser>
          <c:idx val="1"/>
          <c:order val="1"/>
          <c:tx>
            <c:strRef>
              <c:f>'Maturity Assessment (Summary)'!$K$4</c:f>
              <c:strCache>
                <c:ptCount val="1"/>
                <c:pt idx="0">
                  <c:v>Layer 4</c:v>
                </c:pt>
              </c:strCache>
            </c:strRef>
          </c:tx>
          <c:spPr>
            <a:ln w="28575" cap="rnd">
              <a:solidFill>
                <a:schemeClr val="accent2"/>
              </a:solidFill>
              <a:round/>
            </a:ln>
            <a:effectLst/>
          </c:spPr>
          <c:marker>
            <c:symbol val="none"/>
          </c:marker>
          <c:cat>
            <c:strRef>
              <c:f>'Maturity Assessment (Summary)'!$F$5:$F$14</c:f>
              <c:strCache>
                <c:ptCount val="10"/>
                <c:pt idx="0">
                  <c:v>Bryte Activation</c:v>
                </c:pt>
                <c:pt idx="1">
                  <c:v>Intent Classifier And Entity Recognition</c:v>
                </c:pt>
                <c:pt idx="2">
                  <c:v>Skills</c:v>
                </c:pt>
                <c:pt idx="3">
                  <c:v>DSAAS</c:v>
                </c:pt>
                <c:pt idx="4">
                  <c:v>RAG</c:v>
                </c:pt>
                <c:pt idx="5">
                  <c:v>Agent Framework</c:v>
                </c:pt>
                <c:pt idx="6">
                  <c:v>URIKA</c:v>
                </c:pt>
                <c:pt idx="7">
                  <c:v>Mission Control</c:v>
                </c:pt>
                <c:pt idx="8">
                  <c:v>UKG GPT</c:v>
                </c:pt>
                <c:pt idx="9">
                  <c:v>GPTW/DEIB</c:v>
                </c:pt>
              </c:strCache>
            </c:strRef>
          </c:cat>
          <c:val>
            <c:numRef>
              <c:f>'Maturity Assessment (Summary)'!$K$5:$K$14</c:f>
              <c:numCache>
                <c:formatCode>0%</c:formatCode>
                <c:ptCount val="10"/>
                <c:pt idx="0">
                  <c:v>1</c:v>
                </c:pt>
                <c:pt idx="1">
                  <c:v>0</c:v>
                </c:pt>
                <c:pt idx="2">
                  <c:v>0.5714285714285714</c:v>
                </c:pt>
                <c:pt idx="3">
                  <c:v>0.42857142857142855</c:v>
                </c:pt>
                <c:pt idx="4">
                  <c:v>0.42857142857142855</c:v>
                </c:pt>
                <c:pt idx="5">
                  <c:v>0.8571428571428571</c:v>
                </c:pt>
                <c:pt idx="6">
                  <c:v>0</c:v>
                </c:pt>
                <c:pt idx="7">
                  <c:v>0.35714285714285715</c:v>
                </c:pt>
                <c:pt idx="8">
                  <c:v>0</c:v>
                </c:pt>
                <c:pt idx="9">
                  <c:v>0</c:v>
                </c:pt>
              </c:numCache>
            </c:numRef>
          </c:val>
          <c:smooth val="0"/>
          <c:extLst>
            <c:ext xmlns:c16="http://schemas.microsoft.com/office/drawing/2014/chart" uri="{C3380CC4-5D6E-409C-BE32-E72D297353CC}">
              <c16:uniqueId val="{00000005-1112-45B7-932C-6F6C3B9F2573}"/>
            </c:ext>
          </c:extLst>
        </c:ser>
        <c:dLbls>
          <c:showLegendKey val="0"/>
          <c:showVal val="0"/>
          <c:showCatName val="0"/>
          <c:showSerName val="0"/>
          <c:showPercent val="0"/>
          <c:showBubbleSize val="0"/>
        </c:dLbls>
        <c:smooth val="0"/>
        <c:axId val="1090159623"/>
        <c:axId val="1090161671"/>
      </c:lineChart>
      <c:catAx>
        <c:axId val="1090159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808080"/>
                </a:solidFill>
                <a:latin typeface="+mn-lt"/>
                <a:ea typeface="+mn-ea"/>
                <a:cs typeface="+mn-cs"/>
              </a:defRPr>
            </a:pPr>
            <a:endParaRPr lang="en-US"/>
          </a:p>
        </c:txPr>
        <c:crossAx val="1090161671"/>
        <c:crosses val="autoZero"/>
        <c:auto val="1"/>
        <c:lblAlgn val="ctr"/>
        <c:lblOffset val="100"/>
        <c:noMultiLvlLbl val="0"/>
      </c:catAx>
      <c:valAx>
        <c:axId val="1090161671"/>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09015962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'Maturity Assessment (Summary)'!$BH$33</c:f>
              <c:strCache>
                <c:ptCount val="1"/>
                <c:pt idx="0">
                  <c:v>Gap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(Summary)'!$BI$32:$BM$32</c:f>
              <c:strCache>
                <c:ptCount val="5"/>
                <c:pt idx="0">
                  <c:v>Layer 0</c:v>
                </c:pt>
                <c:pt idx="1">
                  <c:v>Layer 1</c:v>
                </c:pt>
                <c:pt idx="2">
                  <c:v>Layer 2</c:v>
                </c:pt>
                <c:pt idx="3">
                  <c:v>Layer 3</c:v>
                </c:pt>
                <c:pt idx="4">
                  <c:v>Layer 4</c:v>
                </c:pt>
              </c:strCache>
            </c:strRef>
          </c:cat>
          <c:val>
            <c:numRef>
              <c:f>'Maturity Assessment (Summary)'!$BI$33:$BM$33</c:f>
              <c:numCache>
                <c:formatCode>0%</c:formatCode>
                <c:ptCount val="5"/>
                <c:pt idx="0">
                  <c:v>1</c:v>
                </c:pt>
                <c:pt idx="1">
                  <c:v>0.42857142857142855</c:v>
                </c:pt>
                <c:pt idx="2">
                  <c:v>0.42857142857142855</c:v>
                </c:pt>
                <c:pt idx="3">
                  <c:v>1</c:v>
                </c:pt>
                <c:pt idx="4">
                  <c:v>0.8571428571428571</c:v>
                </c:pt>
              </c:numCache>
            </c:numRef>
          </c:val>
          <c:extLst>
            <c:ext xmlns:c16="http://schemas.microsoft.com/office/drawing/2014/chart" uri="{C3380CC4-5D6E-409C-BE32-E72D297353CC}">
              <c16:uniqueId val="{00000003-11D9-41B3-80E1-A7318A8B2FFC}"/>
            </c:ext>
          </c:extLst>
        </c:ser>
        <c:dLbls>
          <c:showLegendKey val="0"/>
          <c:showVal val="0"/>
          <c:showCatName val="0"/>
          <c:showSerName val="0"/>
          <c:showPercent val="0"/>
          <c:showBubbleSize val="0"/>
        </c:dLbls>
        <c:gapWidth val="33"/>
        <c:overlap val="-30"/>
        <c:axId val="1186408456"/>
        <c:axId val="1186432008"/>
      </c:barChart>
      <c:catAx>
        <c:axId val="1186408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6432008"/>
        <c:crosses val="autoZero"/>
        <c:auto val="1"/>
        <c:lblAlgn val="ctr"/>
        <c:lblOffset val="100"/>
        <c:noMultiLvlLbl val="0"/>
      </c:catAx>
      <c:valAx>
        <c:axId val="118643200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40845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'Maturity Assessment (Summary)'!$BP$33</c:f>
              <c:strCache>
                <c:ptCount val="1"/>
                <c:pt idx="0">
                  <c:v>Gap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(Summary)'!$BQ$32:$BU$32</c:f>
              <c:strCache>
                <c:ptCount val="5"/>
                <c:pt idx="0">
                  <c:v>Layer 0</c:v>
                </c:pt>
                <c:pt idx="1">
                  <c:v>Layer 1</c:v>
                </c:pt>
                <c:pt idx="2">
                  <c:v>Layer 2</c:v>
                </c:pt>
                <c:pt idx="3">
                  <c:v>Layer 3</c:v>
                </c:pt>
                <c:pt idx="4">
                  <c:v>Layer 4</c:v>
                </c:pt>
              </c:strCache>
            </c:strRef>
          </c:cat>
          <c:val>
            <c:numRef>
              <c:f>'Maturity Assessment (Summary)'!$BQ$33:$BU$33</c:f>
              <c:numCache>
                <c:formatCode>0%</c:formatCode>
                <c:ptCount val="5"/>
                <c:pt idx="0">
                  <c:v>0</c:v>
                </c:pt>
                <c:pt idx="1">
                  <c:v>0</c:v>
                </c:pt>
                <c:pt idx="2">
                  <c:v>0</c:v>
                </c:pt>
                <c:pt idx="3">
                  <c:v>0.25</c:v>
                </c:pt>
                <c:pt idx="4">
                  <c:v>0</c:v>
                </c:pt>
              </c:numCache>
            </c:numRef>
          </c:val>
          <c:extLst>
            <c:ext xmlns:c16="http://schemas.microsoft.com/office/drawing/2014/chart" uri="{C3380CC4-5D6E-409C-BE32-E72D297353CC}">
              <c16:uniqueId val="{00000003-C0B0-405E-AF14-9D55823410C1}"/>
            </c:ext>
          </c:extLst>
        </c:ser>
        <c:dLbls>
          <c:showLegendKey val="0"/>
          <c:showVal val="0"/>
          <c:showCatName val="0"/>
          <c:showSerName val="0"/>
          <c:showPercent val="0"/>
          <c:showBubbleSize val="0"/>
        </c:dLbls>
        <c:gapWidth val="33"/>
        <c:overlap val="-30"/>
        <c:axId val="1186408456"/>
        <c:axId val="1186432008"/>
      </c:barChart>
      <c:catAx>
        <c:axId val="1186408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6432008"/>
        <c:crosses val="autoZero"/>
        <c:auto val="1"/>
        <c:lblAlgn val="ctr"/>
        <c:lblOffset val="100"/>
        <c:noMultiLvlLbl val="0"/>
      </c:catAx>
      <c:valAx>
        <c:axId val="118643200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40845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'Maturity Assessment (Summary)'!$BX$33</c:f>
              <c:strCache>
                <c:ptCount val="1"/>
                <c:pt idx="0">
                  <c:v>Gap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(Summary)'!$BY$32:$CC$32</c:f>
              <c:strCache>
                <c:ptCount val="5"/>
                <c:pt idx="0">
                  <c:v>Layer 0</c:v>
                </c:pt>
                <c:pt idx="1">
                  <c:v>Layer 1</c:v>
                </c:pt>
                <c:pt idx="2">
                  <c:v>Layer 2</c:v>
                </c:pt>
                <c:pt idx="3">
                  <c:v>Layer 3</c:v>
                </c:pt>
                <c:pt idx="4">
                  <c:v>Layer 4</c:v>
                </c:pt>
              </c:strCache>
            </c:strRef>
          </c:cat>
          <c:val>
            <c:numRef>
              <c:f>'Maturity Assessment (Summary)'!$BY$33:$CC$33</c:f>
              <c:numCache>
                <c:formatCode>0%</c:formatCode>
                <c:ptCount val="5"/>
                <c:pt idx="0">
                  <c:v>0</c:v>
                </c:pt>
                <c:pt idx="1">
                  <c:v>0</c:v>
                </c:pt>
                <c:pt idx="2">
                  <c:v>0</c:v>
                </c:pt>
                <c:pt idx="3">
                  <c:v>0</c:v>
                </c:pt>
                <c:pt idx="4">
                  <c:v>0.35714285714285715</c:v>
                </c:pt>
              </c:numCache>
            </c:numRef>
          </c:val>
          <c:extLst>
            <c:ext xmlns:c16="http://schemas.microsoft.com/office/drawing/2014/chart" uri="{C3380CC4-5D6E-409C-BE32-E72D297353CC}">
              <c16:uniqueId val="{00000003-7468-4DCD-B9A4-B13FD94A854E}"/>
            </c:ext>
          </c:extLst>
        </c:ser>
        <c:dLbls>
          <c:showLegendKey val="0"/>
          <c:showVal val="0"/>
          <c:showCatName val="0"/>
          <c:showSerName val="0"/>
          <c:showPercent val="0"/>
          <c:showBubbleSize val="0"/>
        </c:dLbls>
        <c:gapWidth val="33"/>
        <c:overlap val="-30"/>
        <c:axId val="1186408456"/>
        <c:axId val="1186432008"/>
      </c:barChart>
      <c:catAx>
        <c:axId val="1186408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6432008"/>
        <c:crosses val="autoZero"/>
        <c:auto val="1"/>
        <c:lblAlgn val="ctr"/>
        <c:lblOffset val="100"/>
        <c:noMultiLvlLbl val="0"/>
      </c:catAx>
      <c:valAx>
        <c:axId val="118643200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40845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'Maturity Assessment (Summary)'!$CF$33</c:f>
              <c:strCache>
                <c:ptCount val="1"/>
                <c:pt idx="0">
                  <c:v>Gap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(Summary)'!$CG$32:$CK$32</c:f>
              <c:strCache>
                <c:ptCount val="5"/>
                <c:pt idx="0">
                  <c:v>Layer 0</c:v>
                </c:pt>
                <c:pt idx="1">
                  <c:v>Layer 1</c:v>
                </c:pt>
                <c:pt idx="2">
                  <c:v>Layer 2</c:v>
                </c:pt>
                <c:pt idx="3">
                  <c:v>Layer 3</c:v>
                </c:pt>
                <c:pt idx="4">
                  <c:v>Layer 4</c:v>
                </c:pt>
              </c:strCache>
            </c:strRef>
          </c:cat>
          <c:val>
            <c:numRef>
              <c:f>'Maturity Assessment (Summary)'!$CG$33:$CK$33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3-FF22-4580-843C-039F205C4AB6}"/>
            </c:ext>
          </c:extLst>
        </c:ser>
        <c:dLbls>
          <c:showLegendKey val="0"/>
          <c:showVal val="0"/>
          <c:showCatName val="0"/>
          <c:showSerName val="0"/>
          <c:showPercent val="0"/>
          <c:showBubbleSize val="0"/>
        </c:dLbls>
        <c:gapWidth val="33"/>
        <c:overlap val="-30"/>
        <c:axId val="1186408456"/>
        <c:axId val="1186432008"/>
      </c:barChart>
      <c:catAx>
        <c:axId val="1186408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6432008"/>
        <c:crosses val="autoZero"/>
        <c:auto val="1"/>
        <c:lblAlgn val="ctr"/>
        <c:lblOffset val="100"/>
        <c:noMultiLvlLbl val="0"/>
      </c:catAx>
      <c:valAx>
        <c:axId val="118643200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40845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'Maturity Assessment (Summary)'!$CN$33</c:f>
              <c:strCache>
                <c:ptCount val="1"/>
                <c:pt idx="0">
                  <c:v>Gap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(Summary)'!$CO$32:$CS$32</c:f>
              <c:strCache>
                <c:ptCount val="5"/>
                <c:pt idx="0">
                  <c:v>Layer 0</c:v>
                </c:pt>
                <c:pt idx="1">
                  <c:v>Layer 1</c:v>
                </c:pt>
                <c:pt idx="2">
                  <c:v>Layer 2</c:v>
                </c:pt>
                <c:pt idx="3">
                  <c:v>Layer 3</c:v>
                </c:pt>
                <c:pt idx="4">
                  <c:v>Layer 4</c:v>
                </c:pt>
              </c:strCache>
            </c:strRef>
          </c:cat>
          <c:val>
            <c:numRef>
              <c:f>'Maturity Assessment (Summary)'!$CO$33:$CS$33</c:f>
              <c:numCache>
                <c:formatCode>0%</c:formatCode>
                <c:ptCount val="5"/>
                <c:pt idx="0">
                  <c:v>0</c:v>
                </c:pt>
                <c:pt idx="1">
                  <c:v>0.75</c:v>
                </c:pt>
                <c:pt idx="2">
                  <c:v>0</c:v>
                </c:pt>
                <c:pt idx="3">
                  <c:v>4</c:v>
                </c:pt>
                <c:pt idx="4">
                  <c:v>0</c:v>
                </c:pt>
              </c:numCache>
            </c:numRef>
          </c:val>
          <c:extLst>
            <c:ext xmlns:c16="http://schemas.microsoft.com/office/drawing/2014/chart" uri="{C3380CC4-5D6E-409C-BE32-E72D297353CC}">
              <c16:uniqueId val="{00000003-4FBC-42C9-84B1-AFFBCF3F2421}"/>
            </c:ext>
          </c:extLst>
        </c:ser>
        <c:dLbls>
          <c:showLegendKey val="0"/>
          <c:showVal val="0"/>
          <c:showCatName val="0"/>
          <c:showSerName val="0"/>
          <c:showPercent val="0"/>
          <c:showBubbleSize val="0"/>
        </c:dLbls>
        <c:gapWidth val="33"/>
        <c:overlap val="-30"/>
        <c:axId val="1186408456"/>
        <c:axId val="1186432008"/>
      </c:barChart>
      <c:catAx>
        <c:axId val="1186408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6432008"/>
        <c:crosses val="autoZero"/>
        <c:auto val="1"/>
        <c:lblAlgn val="ctr"/>
        <c:lblOffset val="100"/>
        <c:noMultiLvlLbl val="0"/>
      </c:catAx>
      <c:valAx>
        <c:axId val="118643200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40845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'Maturity Assessment (Summary)'!$CV$33</c:f>
              <c:strCache>
                <c:ptCount val="1"/>
                <c:pt idx="0">
                  <c:v>Gap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(Summary)'!$CW$32:$DA$32</c:f>
              <c:strCache>
                <c:ptCount val="5"/>
                <c:pt idx="0">
                  <c:v>Layer 0</c:v>
                </c:pt>
                <c:pt idx="1">
                  <c:v>Layer 1</c:v>
                </c:pt>
                <c:pt idx="2">
                  <c:v>Layer 2</c:v>
                </c:pt>
                <c:pt idx="3">
                  <c:v>Layer 3</c:v>
                </c:pt>
                <c:pt idx="4">
                  <c:v>Layer 4</c:v>
                </c:pt>
              </c:strCache>
            </c:strRef>
          </c:cat>
          <c:val>
            <c:numRef>
              <c:f>'Maturity Assessment (Summary)'!$CW$33:$DA$33</c:f>
              <c:numCache>
                <c:formatCode>0%</c:formatCode>
                <c:ptCount val="5"/>
                <c:pt idx="0">
                  <c:v>0.33333333333333331</c:v>
                </c:pt>
                <c:pt idx="1">
                  <c:v>0</c:v>
                </c:pt>
                <c:pt idx="2">
                  <c:v>0.42857142857142855</c:v>
                </c:pt>
                <c:pt idx="3">
                  <c:v>0.6</c:v>
                </c:pt>
                <c:pt idx="4">
                  <c:v>0.6428571428571429</c:v>
                </c:pt>
              </c:numCache>
            </c:numRef>
          </c:val>
          <c:extLst>
            <c:ext xmlns:c16="http://schemas.microsoft.com/office/drawing/2014/chart" uri="{C3380CC4-5D6E-409C-BE32-E72D297353CC}">
              <c16:uniqueId val="{00000003-296F-439B-BCCD-86BADEB7F5F2}"/>
            </c:ext>
          </c:extLst>
        </c:ser>
        <c:dLbls>
          <c:showLegendKey val="0"/>
          <c:showVal val="0"/>
          <c:showCatName val="0"/>
          <c:showSerName val="0"/>
          <c:showPercent val="0"/>
          <c:showBubbleSize val="0"/>
        </c:dLbls>
        <c:gapWidth val="33"/>
        <c:overlap val="-30"/>
        <c:axId val="1186408456"/>
        <c:axId val="1186432008"/>
      </c:barChart>
      <c:catAx>
        <c:axId val="1186408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6432008"/>
        <c:crosses val="autoZero"/>
        <c:auto val="1"/>
        <c:lblAlgn val="ctr"/>
        <c:lblOffset val="100"/>
        <c:noMultiLvlLbl val="0"/>
      </c:catAx>
      <c:valAx>
        <c:axId val="118643200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40845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'Maturity Assessment (Summary)'!$DD$33</c:f>
              <c:strCache>
                <c:ptCount val="1"/>
                <c:pt idx="0">
                  <c:v>Gap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'Maturity Assessment (Summary)'!$DE$32:$DI$32</c:f>
              <c:strCache>
                <c:ptCount val="5"/>
                <c:pt idx="0">
                  <c:v>Layer 0</c:v>
                </c:pt>
                <c:pt idx="1">
                  <c:v>Layer 1</c:v>
                </c:pt>
                <c:pt idx="2">
                  <c:v>Layer 2</c:v>
                </c:pt>
                <c:pt idx="3">
                  <c:v>Layer 3</c:v>
                </c:pt>
                <c:pt idx="4">
                  <c:v>Layer 4</c:v>
                </c:pt>
              </c:strCache>
            </c:strRef>
          </c:cat>
          <c:val>
            <c:numRef>
              <c:f>'Maturity Assessment (Summary)'!$DE$33:$DI$33</c:f>
              <c:numCache>
                <c:formatCode>0%</c:formatCode>
                <c:ptCount val="5"/>
                <c:pt idx="0">
                  <c:v>1</c:v>
                </c:pt>
                <c:pt idx="1">
                  <c:v>1</c:v>
                </c:pt>
                <c:pt idx="2">
                  <c:v>1</c:v>
                </c:pt>
                <c:pt idx="3">
                  <c:v>1</c:v>
                </c:pt>
                <c:pt idx="4">
                  <c:v>1</c:v>
                </c:pt>
              </c:numCache>
            </c:numRef>
          </c:val>
          <c:extLst>
            <c:ext xmlns:c16="http://schemas.microsoft.com/office/drawing/2014/chart" uri="{C3380CC4-5D6E-409C-BE32-E72D297353CC}">
              <c16:uniqueId val="{00000003-5540-4EFA-8A58-CF918CF9C0C9}"/>
            </c:ext>
          </c:extLst>
        </c:ser>
        <c:dLbls>
          <c:showLegendKey val="0"/>
          <c:showVal val="0"/>
          <c:showCatName val="0"/>
          <c:showSerName val="0"/>
          <c:showPercent val="0"/>
          <c:showBubbleSize val="0"/>
        </c:dLbls>
        <c:gapWidth val="33"/>
        <c:overlap val="-30"/>
        <c:axId val="1186408456"/>
        <c:axId val="1186432008"/>
      </c:barChart>
      <c:catAx>
        <c:axId val="1186408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6432008"/>
        <c:crosses val="autoZero"/>
        <c:auto val="1"/>
        <c:lblAlgn val="ctr"/>
        <c:lblOffset val="100"/>
        <c:noMultiLvlLbl val="0"/>
      </c:catAx>
      <c:valAx>
        <c:axId val="118643200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40845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15</xdr:col>
      <xdr:colOff>361950</xdr:colOff>
      <xdr:row>1</xdr:row>
      <xdr:rowOff>38100</xdr:rowOff>
    </xdr:from>
    <xdr:to>
      <xdr:col>29</xdr:col>
      <xdr:colOff>504825</xdr:colOff>
      <xdr:row>6</xdr:row>
      <xdr:rowOff>0</xdr:rowOff>
    </xdr:to>
    <xdr:sp macro="" textlink="">
      <xdr:nvSpPr>
        <xdr:cNvPr id="2" name="Rectangle 1">
          <a:extLst>
            <a:ext uri="{FF2B5EF4-FFF2-40B4-BE49-F238E27FC236}">
              <a16:creationId xmlns:a16="http://schemas.microsoft.com/office/drawing/2014/main" id="{C4400CDA-5ABD-FD01-5803-677967B53752}"/>
            </a:ext>
            <a:ext uri="{147F2762-F138-4A5C-976F-8EAC2B608ADB}">
              <a16:predDERef xmlns:a16="http://schemas.microsoft.com/office/drawing/2014/main" pred="{0B164D3F-C789-69C6-7797-DF2A40C97EBD}"/>
            </a:ext>
          </a:extLst>
        </xdr:cNvPr>
        <xdr:cNvSpPr/>
      </xdr:nvSpPr>
      <xdr:spPr>
        <a:xfrm>
          <a:off x="12563475" y="238125"/>
          <a:ext cx="9744075" cy="5619750"/>
        </a:xfrm>
        <a:prstGeom prst="rect">
          <a:avLst/>
        </a:prstGeom>
        <a:ln w="38100"/>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a:p>
      </xdr:txBody>
    </xdr:sp>
    <xdr:clientData/>
  </xdr:twoCellAnchor>
  <xdr:twoCellAnchor>
    <xdr:from>
      <xdr:col>4</xdr:col>
      <xdr:colOff>333375</xdr:colOff>
      <xdr:row>5</xdr:row>
      <xdr:rowOff>3343275</xdr:rowOff>
    </xdr:from>
    <xdr:to>
      <xdr:col>15</xdr:col>
      <xdr:colOff>228600</xdr:colOff>
      <xdr:row>5</xdr:row>
      <xdr:rowOff>3714750</xdr:rowOff>
    </xdr:to>
    <xdr:sp macro="" textlink="">
      <xdr:nvSpPr>
        <xdr:cNvPr id="3" name="Right Arrow 2">
          <a:extLst>
            <a:ext uri="{FF2B5EF4-FFF2-40B4-BE49-F238E27FC236}">
              <a16:creationId xmlns:a16="http://schemas.microsoft.com/office/drawing/2014/main" id="{A7437F2A-4D92-4DF3-3854-A60D549C00C6}"/>
            </a:ext>
            <a:ext uri="{147F2762-F138-4A5C-976F-8EAC2B608ADB}">
              <a16:predDERef xmlns:a16="http://schemas.microsoft.com/office/drawing/2014/main" pred="{C4400CDA-5ABD-FD01-5803-677967B53752}"/>
            </a:ext>
          </a:extLst>
        </xdr:cNvPr>
        <xdr:cNvSpPr/>
      </xdr:nvSpPr>
      <xdr:spPr>
        <a:xfrm>
          <a:off x="4533900" y="5143500"/>
          <a:ext cx="7896225" cy="371475"/>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twoCellAnchor editAs="oneCell">
    <xdr:from>
      <xdr:col>15</xdr:col>
      <xdr:colOff>628650</xdr:colOff>
      <xdr:row>1</xdr:row>
      <xdr:rowOff>209550</xdr:rowOff>
    </xdr:from>
    <xdr:to>
      <xdr:col>29</xdr:col>
      <xdr:colOff>509059</xdr:colOff>
      <xdr:row>5</xdr:row>
      <xdr:rowOff>3875617</xdr:rowOff>
    </xdr:to>
    <xdr:pic>
      <xdr:nvPicPr>
        <xdr:cNvPr id="5" name="Picture 5">
          <a:extLst>
            <a:ext uri="{FF2B5EF4-FFF2-40B4-BE49-F238E27FC236}">
              <a16:creationId xmlns:a16="http://schemas.microsoft.com/office/drawing/2014/main" id="{0A457ACA-375F-C0BD-5CAB-6C3D136A6EC0}"/>
            </a:ext>
            <a:ext uri="{147F2762-F138-4A5C-976F-8EAC2B608ADB}">
              <a16:predDERef xmlns:a16="http://schemas.microsoft.com/office/drawing/2014/main" pred="{A7437F2A-4D92-4DF3-3854-A60D549C00C6}"/>
            </a:ext>
          </a:extLst>
        </xdr:cNvPr>
        <xdr:cNvPicPr>
          <a:picLocks noChangeAspect="1"/>
        </xdr:cNvPicPr>
      </xdr:nvPicPr>
      <xdr:blipFill>
        <a:blip xmlns:r="http://schemas.openxmlformats.org/officeDocument/2006/relationships" r:embed="rId1"/>
        <a:stretch>
          <a:fillRect/>
        </a:stretch>
      </xdr:blipFill>
      <xdr:spPr>
        <a:xfrm>
          <a:off x="12820650" y="409575"/>
          <a:ext cx="9481609" cy="52662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20695</xdr:colOff>
      <xdr:row>39</xdr:row>
      <xdr:rowOff>242005</xdr:rowOff>
    </xdr:from>
    <xdr:to>
      <xdr:col>4</xdr:col>
      <xdr:colOff>1269058</xdr:colOff>
      <xdr:row>54</xdr:row>
      <xdr:rowOff>10582</xdr:rowOff>
    </xdr:to>
    <xdr:sp macro="" textlink="">
      <xdr:nvSpPr>
        <xdr:cNvPr id="2" name="Rounded Rectangular Callout 1">
          <a:extLst>
            <a:ext uri="{FF2B5EF4-FFF2-40B4-BE49-F238E27FC236}">
              <a16:creationId xmlns:a16="http://schemas.microsoft.com/office/drawing/2014/main" id="{FACF41B1-3D9D-9887-8025-A45D74B6B9A3}"/>
            </a:ext>
          </a:extLst>
        </xdr:cNvPr>
        <xdr:cNvSpPr/>
      </xdr:nvSpPr>
      <xdr:spPr>
        <a:xfrm>
          <a:off x="1544695" y="11576755"/>
          <a:ext cx="7458663" cy="3769077"/>
        </a:xfrm>
        <a:prstGeom prst="wedgeRoundRectCallout">
          <a:avLst>
            <a:gd name="adj1" fmla="val -42503"/>
            <a:gd name="adj2" fmla="val -66635"/>
            <a:gd name="adj3"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t>Step 2:</a:t>
          </a:r>
          <a:r>
            <a:rPr lang="en-US" sz="1800" baseline="0"/>
            <a:t> </a:t>
          </a:r>
          <a:r>
            <a:rPr lang="en-US" sz="1400" baseline="0"/>
            <a:t>Please populate the "Services" table with the your service names and respective point of contacts.</a:t>
          </a:r>
          <a:br>
            <a:rPr lang="en-US" sz="1400" baseline="0"/>
          </a:br>
          <a:br>
            <a:rPr lang="en-US" sz="1400" baseline="0"/>
          </a:br>
          <a:r>
            <a:rPr lang="en-US" sz="1400" baseline="0"/>
            <a:t>Note: You only need to provide the service names in this table and other sheets will pick the service names from this table reference.</a:t>
          </a:r>
          <a:br>
            <a:rPr lang="en-US" sz="1400" baseline="0"/>
          </a:br>
          <a:br>
            <a:rPr lang="en-US" sz="1400" baseline="0"/>
          </a:br>
          <a:r>
            <a:rPr lang="en-US" sz="1400" baseline="0"/>
            <a:t>Currently, the template include 5 placeholder services. If you have addition services, please add and accordingly you need to update following sheets to include additional set of services </a:t>
          </a:r>
          <a:r>
            <a:rPr lang="en-US" sz="1100" i="1" baseline="0"/>
            <a:t>(you need to copy paste any of the service section, and update forumula reference)</a:t>
          </a:r>
          <a:r>
            <a:rPr lang="en-US" sz="1400" baseline="0"/>
            <a:t> - </a:t>
          </a:r>
        </a:p>
        <a:p>
          <a:pPr algn="l"/>
          <a:endParaRPr lang="en-US" sz="1400" baseline="0"/>
        </a:p>
        <a:p>
          <a:pPr algn="l"/>
          <a:r>
            <a:rPr lang="en-US" sz="1400" baseline="0"/>
            <a:t>     - &lt;VS&gt; (Heatmap)</a:t>
          </a:r>
        </a:p>
        <a:p>
          <a:pPr algn="l"/>
          <a:r>
            <a:rPr lang="en-US" sz="1400" baseline="0"/>
            <a:t>     - &lt;VS&gt; (Raw data)</a:t>
          </a:r>
        </a:p>
        <a:p>
          <a:pPr algn="l"/>
          <a:r>
            <a:rPr lang="en-US" sz="1400" baseline="0"/>
            <a:t>     - &lt;VS&gt; (Maturity Eval)</a:t>
          </a:r>
        </a:p>
        <a:p>
          <a:pPr algn="l"/>
          <a:r>
            <a:rPr lang="en-US" sz="1400" baseline="0"/>
            <a:t>     - Maturity Assessment (Summary)</a:t>
          </a:r>
        </a:p>
        <a:p>
          <a:pPr algn="l"/>
          <a:r>
            <a:rPr lang="en-US" sz="1400" baseline="0"/>
            <a:t>     - BEpics</a:t>
          </a:r>
          <a:br>
            <a:rPr lang="en-US" sz="1400" baseline="0"/>
          </a:br>
          <a:endParaRPr lang="en-US" sz="1100"/>
        </a:p>
      </xdr:txBody>
    </xdr:sp>
    <xdr:clientData/>
  </xdr:twoCellAnchor>
  <xdr:twoCellAnchor>
    <xdr:from>
      <xdr:col>8</xdr:col>
      <xdr:colOff>622300</xdr:colOff>
      <xdr:row>11</xdr:row>
      <xdr:rowOff>63500</xdr:rowOff>
    </xdr:from>
    <xdr:to>
      <xdr:col>16</xdr:col>
      <xdr:colOff>317500</xdr:colOff>
      <xdr:row>15</xdr:row>
      <xdr:rowOff>215900</xdr:rowOff>
    </xdr:to>
    <xdr:sp macro="" textlink="">
      <xdr:nvSpPr>
        <xdr:cNvPr id="3" name="Round Diagonal Corner Rectangle 2">
          <a:extLst>
            <a:ext uri="{FF2B5EF4-FFF2-40B4-BE49-F238E27FC236}">
              <a16:creationId xmlns:a16="http://schemas.microsoft.com/office/drawing/2014/main" id="{53BF7108-8F0C-5AB8-C497-3C5C6EF8130D}"/>
            </a:ext>
          </a:extLst>
        </xdr:cNvPr>
        <xdr:cNvSpPr/>
      </xdr:nvSpPr>
      <xdr:spPr>
        <a:xfrm>
          <a:off x="14757400" y="3771900"/>
          <a:ext cx="6400800" cy="1358900"/>
        </a:xfrm>
        <a:prstGeom prst="round2DiagRect">
          <a:avLst/>
        </a:prstGeom>
        <a:solidFill>
          <a:srgbClr val="FFFF00"/>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2000"/>
            <a:t>Please</a:t>
          </a:r>
          <a:r>
            <a:rPr lang="en-US" sz="2000" baseline="0"/>
            <a:t> refer to </a:t>
          </a:r>
          <a:r>
            <a:rPr lang="en-US" sz="2000" b="1" baseline="0"/>
            <a:t>People Fabric version</a:t>
          </a:r>
          <a:r>
            <a:rPr lang="en-US" sz="2000" baseline="0"/>
            <a:t> to understand this template better in terms of how the information needs to be filled.</a:t>
          </a:r>
          <a:endParaRPr lang="en-US" sz="2000"/>
        </a:p>
      </xdr:txBody>
    </xdr:sp>
    <xdr:clientData/>
  </xdr:twoCellAnchor>
  <xdr:twoCellAnchor>
    <xdr:from>
      <xdr:col>12</xdr:col>
      <xdr:colOff>254000</xdr:colOff>
      <xdr:row>16</xdr:row>
      <xdr:rowOff>101600</xdr:rowOff>
    </xdr:from>
    <xdr:to>
      <xdr:col>12</xdr:col>
      <xdr:colOff>635000</xdr:colOff>
      <xdr:row>19</xdr:row>
      <xdr:rowOff>152400</xdr:rowOff>
    </xdr:to>
    <xdr:sp macro="" textlink="">
      <xdr:nvSpPr>
        <xdr:cNvPr id="10" name="Down Arrow 9">
          <a:extLst>
            <a:ext uri="{FF2B5EF4-FFF2-40B4-BE49-F238E27FC236}">
              <a16:creationId xmlns:a16="http://schemas.microsoft.com/office/drawing/2014/main" id="{EED532AE-20CE-2254-05C3-BEBEB7E39F96}"/>
            </a:ext>
          </a:extLst>
        </xdr:cNvPr>
        <xdr:cNvSpPr/>
      </xdr:nvSpPr>
      <xdr:spPr>
        <a:xfrm>
          <a:off x="17741900" y="5257800"/>
          <a:ext cx="381000" cy="533400"/>
        </a:xfrm>
        <a:prstGeom prst="downArrow">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815975</xdr:colOff>
      <xdr:row>34</xdr:row>
      <xdr:rowOff>95250</xdr:rowOff>
    </xdr:from>
    <xdr:to>
      <xdr:col>6</xdr:col>
      <xdr:colOff>1031875</xdr:colOff>
      <xdr:row>41</xdr:row>
      <xdr:rowOff>209550</xdr:rowOff>
    </xdr:to>
    <xdr:sp macro="" textlink="">
      <xdr:nvSpPr>
        <xdr:cNvPr id="12" name="Rounded Rectangle 6">
          <a:extLst>
            <a:ext uri="{FF2B5EF4-FFF2-40B4-BE49-F238E27FC236}">
              <a16:creationId xmlns:a16="http://schemas.microsoft.com/office/drawing/2014/main" id="{8A6BBAF0-6C50-0D4C-980C-B376E49FEE8F}"/>
            </a:ext>
            <a:ext uri="{147F2762-F138-4A5C-976F-8EAC2B608ADB}">
              <a16:predDERef xmlns:a16="http://schemas.microsoft.com/office/drawing/2014/main" pred="{EED532AE-20CE-2254-05C3-BEBEB7E39F96}"/>
            </a:ext>
          </a:extLst>
        </xdr:cNvPr>
        <xdr:cNvSpPr/>
      </xdr:nvSpPr>
      <xdr:spPr>
        <a:xfrm>
          <a:off x="8550275" y="10096500"/>
          <a:ext cx="4321175" cy="1981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800"/>
            <a:t>Step 4</a:t>
          </a:r>
          <a:r>
            <a:rPr lang="en-US" sz="1400"/>
            <a:t>:</a:t>
          </a:r>
          <a:r>
            <a:rPr lang="en-US" sz="1400" baseline="0"/>
            <a:t> Please create BEpics for your services to start the maturity assessment with collaboration with SRE team, and update the BEpics sheet to list BEpic for each of the respective service.</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400" baseline="0"/>
        </a:p>
        <a:p>
          <a:pPr marL="0" marR="0" lvl="0" indent="0" algn="l" defTabSz="914400" rtl="0" eaLnBrk="1" fontAlgn="auto" latinLnBrk="0" hangingPunct="1">
            <a:lnSpc>
              <a:spcPct val="100000"/>
            </a:lnSpc>
            <a:spcBef>
              <a:spcPts val="0"/>
            </a:spcBef>
            <a:spcAft>
              <a:spcPts val="0"/>
            </a:spcAft>
            <a:buClrTx/>
            <a:buSzTx/>
            <a:buFontTx/>
            <a:buNone/>
            <a:tabLst/>
            <a:defRPr/>
          </a:pPr>
          <a:r>
            <a:rPr lang="en-US" sz="1400" b="1" baseline="0"/>
            <a:t>Sample BEpic</a:t>
          </a:r>
          <a:r>
            <a:rPr lang="en-US" sz="1400" baseline="0"/>
            <a:t>: https://engjira.int.kronos.com/browse/EP-7158</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000" b="0" i="0" u="none" strike="noStrike" baseline="0">
            <a:solidFill>
              <a:srgbClr val="000000"/>
            </a:solidFill>
            <a:latin typeface="Tahoma" pitchFamily="2" charset="0"/>
            <a:ea typeface="Tahoma" pitchFamily="2" charset="0"/>
            <a:cs typeface="Tahoma" pitchFamily="2" charset="0"/>
          </a:endParaRPr>
        </a:p>
      </xdr:txBody>
    </xdr:sp>
    <xdr:clientData/>
  </xdr:twoCellAnchor>
  <xdr:twoCellAnchor>
    <xdr:from>
      <xdr:col>3</xdr:col>
      <xdr:colOff>2946400</xdr:colOff>
      <xdr:row>35</xdr:row>
      <xdr:rowOff>69850</xdr:rowOff>
    </xdr:from>
    <xdr:to>
      <xdr:col>4</xdr:col>
      <xdr:colOff>368300</xdr:colOff>
      <xdr:row>41</xdr:row>
      <xdr:rowOff>25400</xdr:rowOff>
    </xdr:to>
    <xdr:sp macro="" textlink="">
      <xdr:nvSpPr>
        <xdr:cNvPr id="142" name="Rounded Rectangle 7">
          <a:extLst>
            <a:ext uri="{FF2B5EF4-FFF2-40B4-BE49-F238E27FC236}">
              <a16:creationId xmlns:a16="http://schemas.microsoft.com/office/drawing/2014/main" id="{EA05B729-9F7F-0F49-90E8-2C30EDD83B4A}"/>
            </a:ext>
            <a:ext uri="{147F2762-F138-4A5C-976F-8EAC2B608ADB}">
              <a16:predDERef xmlns:a16="http://schemas.microsoft.com/office/drawing/2014/main" pred="{EED532AE-20CE-2254-05C3-BEBEB7E39F96}"/>
            </a:ext>
          </a:extLst>
        </xdr:cNvPr>
        <xdr:cNvSpPr/>
      </xdr:nvSpPr>
      <xdr:spPr>
        <a:xfrm>
          <a:off x="5130800" y="10471150"/>
          <a:ext cx="2971800" cy="15557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800"/>
            <a:t>Note -</a:t>
          </a:r>
          <a:r>
            <a:rPr lang="en-US" sz="1800" baseline="0"/>
            <a:t> </a:t>
          </a:r>
          <a:endParaRPr lang="en-US" sz="1400" baseline="0"/>
        </a:p>
        <a:p>
          <a:pPr algn="l"/>
          <a:r>
            <a:rPr lang="en-US" sz="1000"/>
            <a:t>Maturity</a:t>
          </a:r>
          <a:r>
            <a:rPr lang="en-US" sz="1000" baseline="0"/>
            <a:t> </a:t>
          </a:r>
          <a:r>
            <a:rPr lang="en-US" sz="1000"/>
            <a:t>Eval Tab</a:t>
          </a:r>
          <a:r>
            <a:rPr lang="en-US" sz="1000" baseline="0"/>
            <a:t> - </a:t>
          </a:r>
          <a:r>
            <a:rPr lang="en-US" sz="1000"/>
            <a:t>Actual data </a:t>
          </a:r>
          <a:r>
            <a:rPr lang="en-US" sz="1000" baseline="0"/>
            <a:t> values should be from following options (availability of the given metric data point ) - </a:t>
          </a:r>
        </a:p>
        <a:p>
          <a:pPr lvl="0" algn="l"/>
          <a:r>
            <a:rPr lang="en-US" sz="1000" baseline="0"/>
            <a:t>   </a:t>
          </a:r>
          <a:r>
            <a:rPr lang="en-US" sz="1000" b="1" baseline="0">
              <a:solidFill>
                <a:srgbClr val="FFFF00"/>
              </a:solidFill>
            </a:rPr>
            <a:t>Y</a:t>
          </a:r>
          <a:r>
            <a:rPr lang="en-US" sz="1000" baseline="0"/>
            <a:t> (covered)</a:t>
          </a:r>
        </a:p>
        <a:p>
          <a:pPr lvl="0" algn="l"/>
          <a:r>
            <a:rPr lang="en-US" sz="1000" baseline="0"/>
            <a:t>   </a:t>
          </a:r>
          <a:r>
            <a:rPr lang="en-US" sz="1000" b="1" baseline="0">
              <a:solidFill>
                <a:srgbClr val="FFFF00"/>
              </a:solidFill>
            </a:rPr>
            <a:t>N</a:t>
          </a:r>
          <a:r>
            <a:rPr lang="en-US" sz="1000" baseline="0"/>
            <a:t> (not covered)</a:t>
          </a:r>
        </a:p>
        <a:p>
          <a:pPr lvl="0" algn="l"/>
          <a:r>
            <a:rPr lang="en-US" sz="1000" baseline="0"/>
            <a:t>   </a:t>
          </a:r>
          <a:r>
            <a:rPr lang="en-US" sz="1000" b="1" baseline="0">
              <a:solidFill>
                <a:srgbClr val="FFFF00"/>
              </a:solidFill>
            </a:rPr>
            <a:t>Partial</a:t>
          </a:r>
          <a:r>
            <a:rPr lang="en-US" sz="1000" baseline="0"/>
            <a:t> (partially covered)</a:t>
          </a:r>
        </a:p>
        <a:p>
          <a:pPr lvl="0" algn="l"/>
          <a:r>
            <a:rPr lang="en-US" sz="1000" baseline="0"/>
            <a:t>   </a:t>
          </a:r>
          <a:r>
            <a:rPr lang="en-US" sz="1000" b="1" baseline="0">
              <a:solidFill>
                <a:srgbClr val="FFFF00"/>
              </a:solidFill>
            </a:rPr>
            <a:t>N/A</a:t>
          </a:r>
          <a:r>
            <a:rPr lang="en-US" sz="1000" baseline="0"/>
            <a:t> (not applicable)</a:t>
          </a:r>
        </a:p>
        <a:p>
          <a:pPr lvl="0" algn="l"/>
          <a:r>
            <a:rPr lang="en-US" sz="1000" baseline="0"/>
            <a:t>   </a:t>
          </a:r>
          <a:r>
            <a:rPr lang="en-US" sz="1000" b="1" baseline="0">
              <a:solidFill>
                <a:srgbClr val="FFFF00"/>
              </a:solidFill>
            </a:rPr>
            <a:t>TBD</a:t>
          </a:r>
          <a:r>
            <a:rPr lang="en-US" sz="1000" baseline="0"/>
            <a:t> (not evaluated or under discussion)</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000" b="0" i="0" u="none" strike="noStrike" baseline="0">
            <a:solidFill>
              <a:srgbClr val="000000"/>
            </a:solidFill>
            <a:latin typeface="Tahoma" pitchFamily="2" charset="0"/>
            <a:ea typeface="Tahoma" pitchFamily="2" charset="0"/>
            <a:cs typeface="Tahoma" pitchFamily="2"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200025</xdr:colOff>
      <xdr:row>2</xdr:row>
      <xdr:rowOff>200025</xdr:rowOff>
    </xdr:from>
    <xdr:to>
      <xdr:col>8</xdr:col>
      <xdr:colOff>1104900</xdr:colOff>
      <xdr:row>4</xdr:row>
      <xdr:rowOff>228600</xdr:rowOff>
    </xdr:to>
    <xdr:sp macro="[0]!RefreshAllHeatmaps" textlink="">
      <xdr:nvSpPr>
        <xdr:cNvPr id="2" name="Rectangle: Rounded Corners 1">
          <a:extLst>
            <a:ext uri="{FF2B5EF4-FFF2-40B4-BE49-F238E27FC236}">
              <a16:creationId xmlns:a16="http://schemas.microsoft.com/office/drawing/2014/main" id="{332C1634-782E-764C-B388-EDA161084866}"/>
            </a:ext>
          </a:extLst>
        </xdr:cNvPr>
        <xdr:cNvSpPr/>
      </xdr:nvSpPr>
      <xdr:spPr>
        <a:xfrm>
          <a:off x="13849350" y="1238250"/>
          <a:ext cx="904875" cy="533400"/>
        </a:xfrm>
        <a:prstGeom prst="roundRect">
          <a:avLst/>
        </a:prstGeom>
        <a:solidFill>
          <a:schemeClr val="accent6">
            <a:lumMod val="60000"/>
            <a:lumOff val="40000"/>
          </a:schemeClr>
        </a:solidFill>
        <a:ln>
          <a:noFill/>
        </a:ln>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tx1"/>
              </a:solidFill>
              <a:latin typeface="+mn-lt"/>
              <a:ea typeface="+mn-lt"/>
              <a:cs typeface="+mn-lt"/>
            </a:rPr>
            <a:t>Refresh </a:t>
          </a:r>
        </a:p>
        <a:p>
          <a:pPr marL="0" indent="0" algn="ctr"/>
          <a:r>
            <a:rPr lang="en-US" sz="1200" b="1">
              <a:solidFill>
                <a:schemeClr val="tx1"/>
              </a:solidFill>
              <a:latin typeface="+mn-lt"/>
              <a:ea typeface="+mn-lt"/>
              <a:cs typeface="+mn-lt"/>
            </a:rPr>
            <a:t>Heatmap</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55</xdr:col>
      <xdr:colOff>180975</xdr:colOff>
      <xdr:row>24</xdr:row>
      <xdr:rowOff>206376</xdr:rowOff>
    </xdr:from>
    <xdr:to>
      <xdr:col>57</xdr:col>
      <xdr:colOff>342900</xdr:colOff>
      <xdr:row>25</xdr:row>
      <xdr:rowOff>187326</xdr:rowOff>
    </xdr:to>
    <xdr:sp macro="" textlink="">
      <xdr:nvSpPr>
        <xdr:cNvPr id="29" name="TextBox 4">
          <a:extLst>
            <a:ext uri="{FF2B5EF4-FFF2-40B4-BE49-F238E27FC236}">
              <a16:creationId xmlns:a16="http://schemas.microsoft.com/office/drawing/2014/main" id="{60FE28B2-1A34-4B0F-ABD3-C9E4CACBE6AD}"/>
            </a:ext>
            <a:ext uri="{147F2762-F138-4A5C-976F-8EAC2B608ADB}">
              <a16:predDERef xmlns:a16="http://schemas.microsoft.com/office/drawing/2014/main" pred="{2CB7A9C2-D695-483F-9BE7-7BFD1CB94ED5}"/>
            </a:ext>
          </a:extLst>
        </xdr:cNvPr>
        <xdr:cNvSpPr txBox="1"/>
      </xdr:nvSpPr>
      <xdr:spPr>
        <a:xfrm>
          <a:off x="31710842" y="4846109"/>
          <a:ext cx="1414991" cy="226484"/>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closed</a:t>
          </a:r>
        </a:p>
      </xdr:txBody>
    </xdr:sp>
    <xdr:clientData/>
  </xdr:twoCellAnchor>
  <xdr:twoCellAnchor>
    <xdr:from>
      <xdr:col>52</xdr:col>
      <xdr:colOff>180975</xdr:colOff>
      <xdr:row>24</xdr:row>
      <xdr:rowOff>206376</xdr:rowOff>
    </xdr:from>
    <xdr:to>
      <xdr:col>54</xdr:col>
      <xdr:colOff>342900</xdr:colOff>
      <xdr:row>25</xdr:row>
      <xdr:rowOff>187326</xdr:rowOff>
    </xdr:to>
    <xdr:sp macro="" textlink="">
      <xdr:nvSpPr>
        <xdr:cNvPr id="28" name="TextBox 4">
          <a:extLst>
            <a:ext uri="{FF2B5EF4-FFF2-40B4-BE49-F238E27FC236}">
              <a16:creationId xmlns:a16="http://schemas.microsoft.com/office/drawing/2014/main" id="{31A5B1D9-F06D-45BE-B1FA-F13CA47059D1}"/>
            </a:ext>
            <a:ext uri="{147F2762-F138-4A5C-976F-8EAC2B608ADB}">
              <a16:predDERef xmlns:a16="http://schemas.microsoft.com/office/drawing/2014/main" pred="{60FE28B2-1A34-4B0F-ABD3-C9E4CACBE6AD}"/>
            </a:ext>
          </a:extLst>
        </xdr:cNvPr>
        <xdr:cNvSpPr txBox="1"/>
      </xdr:nvSpPr>
      <xdr:spPr>
        <a:xfrm>
          <a:off x="29831242" y="4846109"/>
          <a:ext cx="1414991" cy="226484"/>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created</a:t>
          </a:r>
        </a:p>
      </xdr:txBody>
    </xdr:sp>
    <xdr:clientData/>
  </xdr:twoCellAnchor>
  <xdr:twoCellAnchor>
    <xdr:from>
      <xdr:col>47</xdr:col>
      <xdr:colOff>180975</xdr:colOff>
      <xdr:row>24</xdr:row>
      <xdr:rowOff>206376</xdr:rowOff>
    </xdr:from>
    <xdr:to>
      <xdr:col>49</xdr:col>
      <xdr:colOff>342900</xdr:colOff>
      <xdr:row>25</xdr:row>
      <xdr:rowOff>187326</xdr:rowOff>
    </xdr:to>
    <xdr:sp macro="" textlink="">
      <xdr:nvSpPr>
        <xdr:cNvPr id="31" name="TextBox 4">
          <a:extLst>
            <a:ext uri="{FF2B5EF4-FFF2-40B4-BE49-F238E27FC236}">
              <a16:creationId xmlns:a16="http://schemas.microsoft.com/office/drawing/2014/main" id="{FBDC708F-1B0F-4A28-8628-4F918D44B75A}"/>
            </a:ext>
            <a:ext uri="{147F2762-F138-4A5C-976F-8EAC2B608ADB}">
              <a16:predDERef xmlns:a16="http://schemas.microsoft.com/office/drawing/2014/main" pred="{8F677B40-D1E4-4255-B11D-2E1DF373EB9D}"/>
            </a:ext>
          </a:extLst>
        </xdr:cNvPr>
        <xdr:cNvSpPr txBox="1"/>
      </xdr:nvSpPr>
      <xdr:spPr>
        <a:xfrm>
          <a:off x="26512308" y="4846109"/>
          <a:ext cx="1414992" cy="226484"/>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closed</a:t>
          </a:r>
        </a:p>
      </xdr:txBody>
    </xdr:sp>
    <xdr:clientData/>
  </xdr:twoCellAnchor>
  <xdr:twoCellAnchor>
    <xdr:from>
      <xdr:col>44</xdr:col>
      <xdr:colOff>180975</xdr:colOff>
      <xdr:row>24</xdr:row>
      <xdr:rowOff>206376</xdr:rowOff>
    </xdr:from>
    <xdr:to>
      <xdr:col>46</xdr:col>
      <xdr:colOff>342900</xdr:colOff>
      <xdr:row>25</xdr:row>
      <xdr:rowOff>187326</xdr:rowOff>
    </xdr:to>
    <xdr:sp macro="" textlink="">
      <xdr:nvSpPr>
        <xdr:cNvPr id="57" name="TextBox 4">
          <a:extLst>
            <a:ext uri="{FF2B5EF4-FFF2-40B4-BE49-F238E27FC236}">
              <a16:creationId xmlns:a16="http://schemas.microsoft.com/office/drawing/2014/main" id="{C3F0DF15-478D-419D-88D6-1DE722A1C31D}"/>
            </a:ext>
            <a:ext uri="{147F2762-F138-4A5C-976F-8EAC2B608ADB}">
              <a16:predDERef xmlns:a16="http://schemas.microsoft.com/office/drawing/2014/main" pred="{F788FBF1-24FD-4CB9-97E1-AAEB5E540866}"/>
            </a:ext>
          </a:extLst>
        </xdr:cNvPr>
        <xdr:cNvSpPr txBox="1"/>
      </xdr:nvSpPr>
      <xdr:spPr>
        <a:xfrm>
          <a:off x="24632708" y="4846109"/>
          <a:ext cx="1414992" cy="226484"/>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created</a:t>
          </a:r>
        </a:p>
      </xdr:txBody>
    </xdr:sp>
    <xdr:clientData/>
  </xdr:twoCellAnchor>
  <xdr:twoCellAnchor>
    <xdr:from>
      <xdr:col>39</xdr:col>
      <xdr:colOff>180975</xdr:colOff>
      <xdr:row>24</xdr:row>
      <xdr:rowOff>206376</xdr:rowOff>
    </xdr:from>
    <xdr:to>
      <xdr:col>41</xdr:col>
      <xdr:colOff>342900</xdr:colOff>
      <xdr:row>25</xdr:row>
      <xdr:rowOff>187326</xdr:rowOff>
    </xdr:to>
    <xdr:sp macro="" textlink="">
      <xdr:nvSpPr>
        <xdr:cNvPr id="23" name="TextBox 4">
          <a:extLst>
            <a:ext uri="{FF2B5EF4-FFF2-40B4-BE49-F238E27FC236}">
              <a16:creationId xmlns:a16="http://schemas.microsoft.com/office/drawing/2014/main" id="{0F9860EE-DAFA-4C04-9112-F8AE95334193}"/>
            </a:ext>
            <a:ext uri="{147F2762-F138-4A5C-976F-8EAC2B608ADB}">
              <a16:predDERef xmlns:a16="http://schemas.microsoft.com/office/drawing/2014/main" pred="{6C707858-DF5A-4F55-BC1D-0E10A740EBCA}"/>
            </a:ext>
          </a:extLst>
        </xdr:cNvPr>
        <xdr:cNvSpPr txBox="1"/>
      </xdr:nvSpPr>
      <xdr:spPr>
        <a:xfrm>
          <a:off x="21313775" y="4846109"/>
          <a:ext cx="1414992" cy="226484"/>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closed</a:t>
          </a:r>
        </a:p>
      </xdr:txBody>
    </xdr:sp>
    <xdr:clientData/>
  </xdr:twoCellAnchor>
  <xdr:twoCellAnchor>
    <xdr:from>
      <xdr:col>36</xdr:col>
      <xdr:colOff>180975</xdr:colOff>
      <xdr:row>24</xdr:row>
      <xdr:rowOff>206376</xdr:rowOff>
    </xdr:from>
    <xdr:to>
      <xdr:col>38</xdr:col>
      <xdr:colOff>342900</xdr:colOff>
      <xdr:row>25</xdr:row>
      <xdr:rowOff>187326</xdr:rowOff>
    </xdr:to>
    <xdr:sp macro="" textlink="">
      <xdr:nvSpPr>
        <xdr:cNvPr id="56" name="TextBox 4">
          <a:extLst>
            <a:ext uri="{FF2B5EF4-FFF2-40B4-BE49-F238E27FC236}">
              <a16:creationId xmlns:a16="http://schemas.microsoft.com/office/drawing/2014/main" id="{F788FBF1-24FD-4CB9-97E1-AAEB5E540866}"/>
            </a:ext>
            <a:ext uri="{147F2762-F138-4A5C-976F-8EAC2B608ADB}">
              <a16:predDERef xmlns:a16="http://schemas.microsoft.com/office/drawing/2014/main" pred="{DC818A06-8F35-45B3-91DE-7DAE5E720525}"/>
            </a:ext>
          </a:extLst>
        </xdr:cNvPr>
        <xdr:cNvSpPr txBox="1"/>
      </xdr:nvSpPr>
      <xdr:spPr>
        <a:xfrm>
          <a:off x="19434175" y="4846109"/>
          <a:ext cx="1414992" cy="226484"/>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created</a:t>
          </a:r>
        </a:p>
      </xdr:txBody>
    </xdr:sp>
    <xdr:clientData/>
  </xdr:twoCellAnchor>
  <xdr:twoCellAnchor>
    <xdr:from>
      <xdr:col>31</xdr:col>
      <xdr:colOff>180975</xdr:colOff>
      <xdr:row>24</xdr:row>
      <xdr:rowOff>206376</xdr:rowOff>
    </xdr:from>
    <xdr:to>
      <xdr:col>33</xdr:col>
      <xdr:colOff>342900</xdr:colOff>
      <xdr:row>25</xdr:row>
      <xdr:rowOff>187326</xdr:rowOff>
    </xdr:to>
    <xdr:sp macro="" textlink="">
      <xdr:nvSpPr>
        <xdr:cNvPr id="5" name="TextBox 4">
          <a:extLst>
            <a:ext uri="{FF2B5EF4-FFF2-40B4-BE49-F238E27FC236}">
              <a16:creationId xmlns:a16="http://schemas.microsoft.com/office/drawing/2014/main" id="{E4A9861D-8B72-43AC-91EC-FBD09875C087}"/>
            </a:ext>
            <a:ext uri="{147F2762-F138-4A5C-976F-8EAC2B608ADB}">
              <a16:predDERef xmlns:a16="http://schemas.microsoft.com/office/drawing/2014/main" pred="{020D2CEC-FCA9-4EC7-B4D1-2B0CB9D1F28D}"/>
            </a:ext>
          </a:extLst>
        </xdr:cNvPr>
        <xdr:cNvSpPr txBox="1"/>
      </xdr:nvSpPr>
      <xdr:spPr>
        <a:xfrm>
          <a:off x="16115242" y="4846109"/>
          <a:ext cx="1414991" cy="226484"/>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closed</a:t>
          </a:r>
        </a:p>
      </xdr:txBody>
    </xdr:sp>
    <xdr:clientData/>
  </xdr:twoCellAnchor>
  <xdr:twoCellAnchor>
    <xdr:from>
      <xdr:col>28</xdr:col>
      <xdr:colOff>180975</xdr:colOff>
      <xdr:row>24</xdr:row>
      <xdr:rowOff>206376</xdr:rowOff>
    </xdr:from>
    <xdr:to>
      <xdr:col>30</xdr:col>
      <xdr:colOff>342900</xdr:colOff>
      <xdr:row>25</xdr:row>
      <xdr:rowOff>187326</xdr:rowOff>
    </xdr:to>
    <xdr:sp macro="" textlink="">
      <xdr:nvSpPr>
        <xdr:cNvPr id="55" name="TextBox 4">
          <a:extLst>
            <a:ext uri="{FF2B5EF4-FFF2-40B4-BE49-F238E27FC236}">
              <a16:creationId xmlns:a16="http://schemas.microsoft.com/office/drawing/2014/main" id="{DC818A06-8F35-45B3-91DE-7DAE5E720525}"/>
            </a:ext>
            <a:ext uri="{147F2762-F138-4A5C-976F-8EAC2B608ADB}">
              <a16:predDERef xmlns:a16="http://schemas.microsoft.com/office/drawing/2014/main" pred="{B8A332AB-7C74-4943-8562-F1913CB57199}"/>
            </a:ext>
          </a:extLst>
        </xdr:cNvPr>
        <xdr:cNvSpPr txBox="1"/>
      </xdr:nvSpPr>
      <xdr:spPr>
        <a:xfrm>
          <a:off x="14235642" y="4846109"/>
          <a:ext cx="1414991" cy="226484"/>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created</a:t>
          </a:r>
        </a:p>
      </xdr:txBody>
    </xdr:sp>
    <xdr:clientData/>
  </xdr:twoCellAnchor>
  <xdr:twoCellAnchor>
    <xdr:from>
      <xdr:col>23</xdr:col>
      <xdr:colOff>180975</xdr:colOff>
      <xdr:row>24</xdr:row>
      <xdr:rowOff>206376</xdr:rowOff>
    </xdr:from>
    <xdr:to>
      <xdr:col>25</xdr:col>
      <xdr:colOff>342900</xdr:colOff>
      <xdr:row>25</xdr:row>
      <xdr:rowOff>187326</xdr:rowOff>
    </xdr:to>
    <xdr:sp macro="" textlink="">
      <xdr:nvSpPr>
        <xdr:cNvPr id="27" name="TextBox 4">
          <a:extLst>
            <a:ext uri="{FF2B5EF4-FFF2-40B4-BE49-F238E27FC236}">
              <a16:creationId xmlns:a16="http://schemas.microsoft.com/office/drawing/2014/main" id="{1F2CB04F-2A97-4E7B-925F-50AAA1BD2B01}"/>
            </a:ext>
            <a:ext uri="{147F2762-F138-4A5C-976F-8EAC2B608ADB}">
              <a16:predDERef xmlns:a16="http://schemas.microsoft.com/office/drawing/2014/main" pred="{3A99D88A-F225-428B-8F1A-4D3AC21ADD69}"/>
            </a:ext>
          </a:extLst>
        </xdr:cNvPr>
        <xdr:cNvSpPr txBox="1"/>
      </xdr:nvSpPr>
      <xdr:spPr>
        <a:xfrm>
          <a:off x="10916708" y="4846109"/>
          <a:ext cx="1414992" cy="226484"/>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closed</a:t>
          </a:r>
        </a:p>
      </xdr:txBody>
    </xdr:sp>
    <xdr:clientData/>
  </xdr:twoCellAnchor>
  <xdr:twoCellAnchor>
    <xdr:from>
      <xdr:col>20</xdr:col>
      <xdr:colOff>180975</xdr:colOff>
      <xdr:row>24</xdr:row>
      <xdr:rowOff>219076</xdr:rowOff>
    </xdr:from>
    <xdr:to>
      <xdr:col>22</xdr:col>
      <xdr:colOff>342900</xdr:colOff>
      <xdr:row>25</xdr:row>
      <xdr:rowOff>200026</xdr:rowOff>
    </xdr:to>
    <xdr:sp macro="" textlink="">
      <xdr:nvSpPr>
        <xdr:cNvPr id="54" name="TextBox 4">
          <a:extLst>
            <a:ext uri="{FF2B5EF4-FFF2-40B4-BE49-F238E27FC236}">
              <a16:creationId xmlns:a16="http://schemas.microsoft.com/office/drawing/2014/main" id="{B8A332AB-7C74-4943-8562-F1913CB57199}"/>
            </a:ext>
            <a:ext uri="{147F2762-F138-4A5C-976F-8EAC2B608ADB}">
              <a16:predDERef xmlns:a16="http://schemas.microsoft.com/office/drawing/2014/main" pred="{ED2324ED-50FE-9B38-A448-B903AA7ACC4A}"/>
            </a:ext>
          </a:extLst>
        </xdr:cNvPr>
        <xdr:cNvSpPr txBox="1"/>
      </xdr:nvSpPr>
      <xdr:spPr>
        <a:xfrm>
          <a:off x="9037108" y="4858809"/>
          <a:ext cx="1414992" cy="226484"/>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created</a:t>
          </a:r>
        </a:p>
      </xdr:txBody>
    </xdr:sp>
    <xdr:clientData/>
  </xdr:twoCellAnchor>
  <xdr:twoCellAnchor>
    <xdr:from>
      <xdr:col>11</xdr:col>
      <xdr:colOff>66675</xdr:colOff>
      <xdr:row>18</xdr:row>
      <xdr:rowOff>0</xdr:rowOff>
    </xdr:from>
    <xdr:to>
      <xdr:col>13</xdr:col>
      <xdr:colOff>228600</xdr:colOff>
      <xdr:row>18</xdr:row>
      <xdr:rowOff>180975</xdr:rowOff>
    </xdr:to>
    <xdr:sp macro="" textlink="">
      <xdr:nvSpPr>
        <xdr:cNvPr id="15" name="TextBox 4">
          <a:extLst>
            <a:ext uri="{FF2B5EF4-FFF2-40B4-BE49-F238E27FC236}">
              <a16:creationId xmlns:a16="http://schemas.microsoft.com/office/drawing/2014/main" id="{3A99D88A-F225-428B-8F1A-4D3AC21ADD69}"/>
            </a:ext>
            <a:ext uri="{147F2762-F138-4A5C-976F-8EAC2B608ADB}">
              <a16:predDERef xmlns:a16="http://schemas.microsoft.com/office/drawing/2014/main" pred="{1199AC11-C01C-2042-6DD9-D2AE736388C9}"/>
            </a:ext>
          </a:extLst>
        </xdr:cNvPr>
        <xdr:cNvSpPr txBox="1"/>
      </xdr:nvSpPr>
      <xdr:spPr>
        <a:xfrm>
          <a:off x="4495800" y="3200400"/>
          <a:ext cx="1047750" cy="180975"/>
        </a:xfrm>
        <a:prstGeom prst="rect">
          <a:avLst/>
        </a:prstGeom>
        <a:ln/>
      </xdr:spPr>
      <xdr:style>
        <a:lnRef idx="2">
          <a:schemeClr val="accent6"/>
        </a:lnRef>
        <a:fillRef idx="1">
          <a:schemeClr val="lt1"/>
        </a:fillRef>
        <a:effectRef idx="0">
          <a:schemeClr val="accent6"/>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1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Closed</a:t>
          </a:r>
        </a:p>
      </xdr:txBody>
    </xdr:sp>
    <xdr:clientData/>
  </xdr:twoCellAnchor>
  <xdr:twoCellAnchor>
    <xdr:from>
      <xdr:col>7</xdr:col>
      <xdr:colOff>209550</xdr:colOff>
      <xdr:row>18</xdr:row>
      <xdr:rowOff>0</xdr:rowOff>
    </xdr:from>
    <xdr:to>
      <xdr:col>9</xdr:col>
      <xdr:colOff>342900</xdr:colOff>
      <xdr:row>18</xdr:row>
      <xdr:rowOff>180975</xdr:rowOff>
    </xdr:to>
    <xdr:sp macro="" textlink="">
      <xdr:nvSpPr>
        <xdr:cNvPr id="2" name="TextBox 4">
          <a:extLst>
            <a:ext uri="{FF2B5EF4-FFF2-40B4-BE49-F238E27FC236}">
              <a16:creationId xmlns:a16="http://schemas.microsoft.com/office/drawing/2014/main" id="{148E2592-C17E-4DD5-85C0-8DE6984C9FA2}"/>
            </a:ext>
            <a:ext uri="{147F2762-F138-4A5C-976F-8EAC2B608ADB}">
              <a16:predDERef xmlns:a16="http://schemas.microsoft.com/office/drawing/2014/main" pred="{3A99D88A-F225-428B-8F1A-4D3AC21ADD69}"/>
            </a:ext>
          </a:extLst>
        </xdr:cNvPr>
        <xdr:cNvSpPr txBox="1"/>
      </xdr:nvSpPr>
      <xdr:spPr>
        <a:xfrm>
          <a:off x="2809875" y="3200400"/>
          <a:ext cx="1047750" cy="1809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1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In Progress</a:t>
          </a:r>
        </a:p>
      </xdr:txBody>
    </xdr:sp>
    <xdr:clientData/>
  </xdr:twoCellAnchor>
  <xdr:twoCellAnchor>
    <xdr:from>
      <xdr:col>19</xdr:col>
      <xdr:colOff>28575</xdr:colOff>
      <xdr:row>25</xdr:row>
      <xdr:rowOff>161925</xdr:rowOff>
    </xdr:from>
    <xdr:to>
      <xdr:col>25</xdr:col>
      <xdr:colOff>762000</xdr:colOff>
      <xdr:row>38</xdr:row>
      <xdr:rowOff>171450</xdr:rowOff>
    </xdr:to>
    <xdr:graphicFrame macro="">
      <xdr:nvGraphicFramePr>
        <xdr:cNvPr id="10" name="Chart 18">
          <a:extLst>
            <a:ext uri="{FF2B5EF4-FFF2-40B4-BE49-F238E27FC236}">
              <a16:creationId xmlns:a16="http://schemas.microsoft.com/office/drawing/2014/main" id="{DE439BC3-78DD-D885-B0E8-DE9FC6277AC3}"/>
            </a:ext>
            <a:ext uri="{147F2762-F138-4A5C-976F-8EAC2B608ADB}">
              <a16:predDERef xmlns:a16="http://schemas.microsoft.com/office/drawing/2014/main" pred="{148E2592-C17E-4DD5-85C0-8DE6984C9F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28575</xdr:colOff>
      <xdr:row>25</xdr:row>
      <xdr:rowOff>161925</xdr:rowOff>
    </xdr:from>
    <xdr:to>
      <xdr:col>33</xdr:col>
      <xdr:colOff>771525</xdr:colOff>
      <xdr:row>38</xdr:row>
      <xdr:rowOff>180975</xdr:rowOff>
    </xdr:to>
    <xdr:graphicFrame macro="">
      <xdr:nvGraphicFramePr>
        <xdr:cNvPr id="4" name="Chart 3" descr="Chart type: Clustered Column. 'Gap (%)'&#10;&#10;Description automatically generated">
          <a:extLst>
            <a:ext uri="{FF2B5EF4-FFF2-40B4-BE49-F238E27FC236}">
              <a16:creationId xmlns:a16="http://schemas.microsoft.com/office/drawing/2014/main" id="{ED2324ED-50FE-9B38-A448-B903AA7ACC4A}"/>
            </a:ext>
            <a:ext uri="{147F2762-F138-4A5C-976F-8EAC2B608ADB}">
              <a16:predDERef xmlns:a16="http://schemas.microsoft.com/office/drawing/2014/main" pred="{DE439BC3-78DD-D885-B0E8-DE9FC6277A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19050</xdr:colOff>
      <xdr:row>25</xdr:row>
      <xdr:rowOff>161925</xdr:rowOff>
    </xdr:from>
    <xdr:to>
      <xdr:col>41</xdr:col>
      <xdr:colOff>771525</xdr:colOff>
      <xdr:row>39</xdr:row>
      <xdr:rowOff>0</xdr:rowOff>
    </xdr:to>
    <xdr:graphicFrame macro="">
      <xdr:nvGraphicFramePr>
        <xdr:cNvPr id="18" name="Chart 17" descr="Chart type: Clustered Column. 'Gap (%)'&#10;&#10;Description automatically generated">
          <a:extLst>
            <a:ext uri="{FF2B5EF4-FFF2-40B4-BE49-F238E27FC236}">
              <a16:creationId xmlns:a16="http://schemas.microsoft.com/office/drawing/2014/main" id="{DC67C436-6E94-76BE-CD16-CA8293230CF6}"/>
            </a:ext>
            <a:ext uri="{147F2762-F138-4A5C-976F-8EAC2B608ADB}">
              <a16:predDERef xmlns:a16="http://schemas.microsoft.com/office/drawing/2014/main" pred="{2D9A388B-7FE5-43DA-9721-9B7C5AC540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43</xdr:col>
      <xdr:colOff>47625</xdr:colOff>
      <xdr:row>25</xdr:row>
      <xdr:rowOff>161925</xdr:rowOff>
    </xdr:from>
    <xdr:to>
      <xdr:col>49</xdr:col>
      <xdr:colOff>752475</xdr:colOff>
      <xdr:row>38</xdr:row>
      <xdr:rowOff>171450</xdr:rowOff>
    </xdr:to>
    <xdr:graphicFrame macro="">
      <xdr:nvGraphicFramePr>
        <xdr:cNvPr id="20" name="Chart 19" descr="Chart type: Clustered Column. 'Gap (%)'&#10;&#10;Description automatically generated">
          <a:extLst>
            <a:ext uri="{FF2B5EF4-FFF2-40B4-BE49-F238E27FC236}">
              <a16:creationId xmlns:a16="http://schemas.microsoft.com/office/drawing/2014/main" id="{3AD0FA13-64BB-98D4-D122-E8E340E40A1D}"/>
            </a:ext>
            <a:ext uri="{147F2762-F138-4A5C-976F-8EAC2B608ADB}">
              <a16:predDERef xmlns:a16="http://schemas.microsoft.com/office/drawing/2014/main" pred="{DC67C436-6E94-76BE-CD16-CA8293230C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51</xdr:col>
      <xdr:colOff>28575</xdr:colOff>
      <xdr:row>25</xdr:row>
      <xdr:rowOff>161925</xdr:rowOff>
    </xdr:from>
    <xdr:to>
      <xdr:col>57</xdr:col>
      <xdr:colOff>762000</xdr:colOff>
      <xdr:row>38</xdr:row>
      <xdr:rowOff>171450</xdr:rowOff>
    </xdr:to>
    <xdr:graphicFrame macro="">
      <xdr:nvGraphicFramePr>
        <xdr:cNvPr id="26" name="Chart 20" descr="Chart type: Clustered Column. 'Gap (%)'&#10;&#10;Description automatically generated">
          <a:extLst>
            <a:ext uri="{FF2B5EF4-FFF2-40B4-BE49-F238E27FC236}">
              <a16:creationId xmlns:a16="http://schemas.microsoft.com/office/drawing/2014/main" id="{3447C8BF-1E1E-5A27-A072-DB1BFCA4C041}"/>
            </a:ext>
            <a:ext uri="{147F2762-F138-4A5C-976F-8EAC2B608ADB}">
              <a16:predDERef xmlns:a16="http://schemas.microsoft.com/office/drawing/2014/main" pred="{3AD0FA13-64BB-98D4-D122-E8E340E40A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304800</xdr:colOff>
      <xdr:row>18</xdr:row>
      <xdr:rowOff>0</xdr:rowOff>
    </xdr:from>
    <xdr:to>
      <xdr:col>6</xdr:col>
      <xdr:colOff>276225</xdr:colOff>
      <xdr:row>18</xdr:row>
      <xdr:rowOff>180975</xdr:rowOff>
    </xdr:to>
    <xdr:sp macro="" textlink="">
      <xdr:nvSpPr>
        <xdr:cNvPr id="53" name="TextBox 4">
          <a:extLst>
            <a:ext uri="{FF2B5EF4-FFF2-40B4-BE49-F238E27FC236}">
              <a16:creationId xmlns:a16="http://schemas.microsoft.com/office/drawing/2014/main" id="{F277BDF3-E529-4F2F-9D95-90C4963711BD}"/>
            </a:ext>
            <a:ext uri="{147F2762-F138-4A5C-976F-8EAC2B608ADB}">
              <a16:predDERef xmlns:a16="http://schemas.microsoft.com/office/drawing/2014/main" pred="{B062AC03-7765-D8A2-5627-484F1CD40FA9}"/>
            </a:ext>
          </a:extLst>
        </xdr:cNvPr>
        <xdr:cNvSpPr txBox="1"/>
      </xdr:nvSpPr>
      <xdr:spPr>
        <a:xfrm>
          <a:off x="1238250" y="3200400"/>
          <a:ext cx="1171575" cy="180975"/>
        </a:xfrm>
        <a:prstGeom prst="rect">
          <a:avLst/>
        </a:prstGeom>
        <a:ln/>
      </xdr:spPr>
      <xdr:style>
        <a:lnRef idx="2">
          <a:schemeClr val="accent1"/>
        </a:lnRef>
        <a:fillRef idx="1">
          <a:schemeClr val="lt1"/>
        </a:fillRef>
        <a:effectRef idx="0">
          <a:schemeClr val="accent1"/>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1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Created</a:t>
          </a:r>
        </a:p>
      </xdr:txBody>
    </xdr:sp>
    <xdr:clientData/>
  </xdr:twoCellAnchor>
  <xdr:twoCellAnchor>
    <xdr:from>
      <xdr:col>3</xdr:col>
      <xdr:colOff>384175</xdr:colOff>
      <xdr:row>18</xdr:row>
      <xdr:rowOff>171450</xdr:rowOff>
    </xdr:from>
    <xdr:to>
      <xdr:col>14</xdr:col>
      <xdr:colOff>15875</xdr:colOff>
      <xdr:row>35</xdr:row>
      <xdr:rowOff>38100</xdr:rowOff>
    </xdr:to>
    <xdr:graphicFrame macro="">
      <xdr:nvGraphicFramePr>
        <xdr:cNvPr id="89" name="Chart 1" descr="Chart type: Line. 'JIRA tickets (total)'&#10;&#10;Description automatically generated">
          <a:extLst>
            <a:ext uri="{FF2B5EF4-FFF2-40B4-BE49-F238E27FC236}">
              <a16:creationId xmlns:a16="http://schemas.microsoft.com/office/drawing/2014/main" id="{CA061875-7934-E3F3-7C10-B556D99D4281}"/>
            </a:ext>
            <a:ext uri="{147F2762-F138-4A5C-976F-8EAC2B608ADB}">
              <a16:predDERef xmlns:a16="http://schemas.microsoft.com/office/drawing/2014/main" pred="{F277BDF3-E529-4F2F-9D95-90C4963711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85725</xdr:colOff>
      <xdr:row>56</xdr:row>
      <xdr:rowOff>19050</xdr:rowOff>
    </xdr:from>
    <xdr:to>
      <xdr:col>13</xdr:col>
      <xdr:colOff>333375</xdr:colOff>
      <xdr:row>74</xdr:row>
      <xdr:rowOff>19050</xdr:rowOff>
    </xdr:to>
    <xdr:graphicFrame macro="">
      <xdr:nvGraphicFramePr>
        <xdr:cNvPr id="49" name="Chart 11" descr="Chart type: Clustered Column. 'Layer 0', 'Layer 1' by 'Services'&#10;&#10;Description automatically generated">
          <a:extLst>
            <a:ext uri="{FF2B5EF4-FFF2-40B4-BE49-F238E27FC236}">
              <a16:creationId xmlns:a16="http://schemas.microsoft.com/office/drawing/2014/main" id="{C1E86038-E115-DE5B-D8CB-C4915BC5830A}"/>
            </a:ext>
            <a:ext uri="{147F2762-F138-4A5C-976F-8EAC2B608ADB}">
              <a16:predDERef xmlns:a16="http://schemas.microsoft.com/office/drawing/2014/main" pred="{CA061875-7934-E3F3-7C10-B556D99D42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76200</xdr:colOff>
      <xdr:row>75</xdr:row>
      <xdr:rowOff>114300</xdr:rowOff>
    </xdr:from>
    <xdr:to>
      <xdr:col>13</xdr:col>
      <xdr:colOff>323850</xdr:colOff>
      <xdr:row>93</xdr:row>
      <xdr:rowOff>114300</xdr:rowOff>
    </xdr:to>
    <xdr:graphicFrame macro="">
      <xdr:nvGraphicFramePr>
        <xdr:cNvPr id="7" name="Chart 6" descr="Chart type: Clustered Column. 'Layer 0', 'Layer 1' by 'Services'&#10;&#10;Description automatically generated">
          <a:extLst>
            <a:ext uri="{FF2B5EF4-FFF2-40B4-BE49-F238E27FC236}">
              <a16:creationId xmlns:a16="http://schemas.microsoft.com/office/drawing/2014/main" id="{34032055-3316-4AC6-965B-EE7F93EAD56A}"/>
            </a:ext>
            <a:ext uri="{147F2762-F138-4A5C-976F-8EAC2B608ADB}">
              <a16:predDERef xmlns:a16="http://schemas.microsoft.com/office/drawing/2014/main" pred="{27113160-329D-8818-8F76-896EF8A1C7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349250</xdr:colOff>
      <xdr:row>11</xdr:row>
      <xdr:rowOff>95250</xdr:rowOff>
    </xdr:from>
    <xdr:to>
      <xdr:col>35</xdr:col>
      <xdr:colOff>663575</xdr:colOff>
      <xdr:row>16</xdr:row>
      <xdr:rowOff>69850</xdr:rowOff>
    </xdr:to>
    <xdr:sp macro="" textlink="">
      <xdr:nvSpPr>
        <xdr:cNvPr id="97" name="Rounded Rectangular Callout 7">
          <a:extLst>
            <a:ext uri="{FF2B5EF4-FFF2-40B4-BE49-F238E27FC236}">
              <a16:creationId xmlns:a16="http://schemas.microsoft.com/office/drawing/2014/main" id="{DCDF3A96-086E-694D-8A97-167C729A0F0C}"/>
            </a:ext>
            <a:ext uri="{147F2762-F138-4A5C-976F-8EAC2B608ADB}">
              <a16:predDERef xmlns:a16="http://schemas.microsoft.com/office/drawing/2014/main" pred="{34032055-3316-4AC6-965B-EE7F93EAD56A}"/>
            </a:ext>
          </a:extLst>
        </xdr:cNvPr>
        <xdr:cNvSpPr/>
      </xdr:nvSpPr>
      <xdr:spPr>
        <a:xfrm>
          <a:off x="10550525" y="2295525"/>
          <a:ext cx="7058025" cy="974725"/>
        </a:xfrm>
        <a:prstGeom prst="wedgeRoundRectCallout">
          <a:avLst>
            <a:gd name="adj1" fmla="val -76900"/>
            <a:gd name="adj2" fmla="val -68140"/>
            <a:gd name="adj3"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t>Step 1: </a:t>
          </a:r>
          <a:r>
            <a:rPr lang="en-US" sz="1400"/>
            <a:t>Refresh the pivots based on the information updated in &lt;VS&gt; (Maturity Eval) sheet for a service. You may</a:t>
          </a:r>
          <a:r>
            <a:rPr lang="en-US" sz="1400" baseline="0"/>
            <a:t> need to update the filters to include additional responses. For ex - currently the filter has only included "TBD" response.</a:t>
          </a:r>
          <a:endParaRPr lang="en-US" sz="1400"/>
        </a:p>
      </xdr:txBody>
    </xdr:sp>
    <xdr:clientData/>
  </xdr:twoCellAnchor>
  <xdr:twoCellAnchor>
    <xdr:from>
      <xdr:col>35</xdr:col>
      <xdr:colOff>365125</xdr:colOff>
      <xdr:row>9</xdr:row>
      <xdr:rowOff>6350</xdr:rowOff>
    </xdr:from>
    <xdr:to>
      <xdr:col>41</xdr:col>
      <xdr:colOff>476250</xdr:colOff>
      <xdr:row>13</xdr:row>
      <xdr:rowOff>69850</xdr:rowOff>
    </xdr:to>
    <xdr:sp macro="" textlink="">
      <xdr:nvSpPr>
        <xdr:cNvPr id="96" name="Rounded Rectangular Callout 8">
          <a:extLst>
            <a:ext uri="{FF2B5EF4-FFF2-40B4-BE49-F238E27FC236}">
              <a16:creationId xmlns:a16="http://schemas.microsoft.com/office/drawing/2014/main" id="{69758869-BFA4-FB4F-B9D1-D295C49D944E}"/>
            </a:ext>
            <a:ext uri="{147F2762-F138-4A5C-976F-8EAC2B608ADB}">
              <a16:predDERef xmlns:a16="http://schemas.microsoft.com/office/drawing/2014/main" pred="{DCDF3A96-086E-694D-8A97-167C729A0F0C}"/>
            </a:ext>
          </a:extLst>
        </xdr:cNvPr>
        <xdr:cNvSpPr/>
      </xdr:nvSpPr>
      <xdr:spPr>
        <a:xfrm>
          <a:off x="17424400" y="1806575"/>
          <a:ext cx="3702050" cy="863600"/>
        </a:xfrm>
        <a:prstGeom prst="wedgeRoundRectCallout">
          <a:avLst>
            <a:gd name="adj1" fmla="val -2549"/>
            <a:gd name="adj2" fmla="val 73676"/>
            <a:gd name="adj3"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t>Step 2: </a:t>
          </a:r>
          <a:r>
            <a:rPr lang="en-US" sz="1400"/>
            <a:t>Accordingly,</a:t>
          </a:r>
          <a:r>
            <a:rPr lang="en-US" sz="1400" baseline="0"/>
            <a:t> update the Gaps (%) formula to compute the correct percentage.</a:t>
          </a:r>
          <a:endParaRPr lang="en-US" sz="1400"/>
        </a:p>
      </xdr:txBody>
    </xdr:sp>
    <xdr:clientData/>
  </xdr:twoCellAnchor>
  <xdr:twoCellAnchor>
    <xdr:from>
      <xdr:col>63</xdr:col>
      <xdr:colOff>180975</xdr:colOff>
      <xdr:row>24</xdr:row>
      <xdr:rowOff>206376</xdr:rowOff>
    </xdr:from>
    <xdr:to>
      <xdr:col>65</xdr:col>
      <xdr:colOff>342900</xdr:colOff>
      <xdr:row>25</xdr:row>
      <xdr:rowOff>187326</xdr:rowOff>
    </xdr:to>
    <xdr:sp macro="" textlink="">
      <xdr:nvSpPr>
        <xdr:cNvPr id="30" name="TextBox 4">
          <a:extLst>
            <a:ext uri="{FF2B5EF4-FFF2-40B4-BE49-F238E27FC236}">
              <a16:creationId xmlns:a16="http://schemas.microsoft.com/office/drawing/2014/main" id="{BBC032A1-83D8-4493-A082-CFB7C4B94155}"/>
            </a:ext>
            <a:ext uri="{147F2762-F138-4A5C-976F-8EAC2B608ADB}">
              <a16:predDERef xmlns:a16="http://schemas.microsoft.com/office/drawing/2014/main" pred="{69758869-BFA4-FB4F-B9D1-D295C49D944E}"/>
            </a:ext>
          </a:extLst>
        </xdr:cNvPr>
        <xdr:cNvSpPr txBox="1"/>
      </xdr:nvSpPr>
      <xdr:spPr>
        <a:xfrm>
          <a:off x="29203650" y="4759326"/>
          <a:ext cx="12477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closed</a:t>
          </a:r>
        </a:p>
      </xdr:txBody>
    </xdr:sp>
    <xdr:clientData/>
  </xdr:twoCellAnchor>
  <xdr:twoCellAnchor>
    <xdr:from>
      <xdr:col>60</xdr:col>
      <xdr:colOff>180975</xdr:colOff>
      <xdr:row>24</xdr:row>
      <xdr:rowOff>206376</xdr:rowOff>
    </xdr:from>
    <xdr:to>
      <xdr:col>62</xdr:col>
      <xdr:colOff>342900</xdr:colOff>
      <xdr:row>25</xdr:row>
      <xdr:rowOff>187326</xdr:rowOff>
    </xdr:to>
    <xdr:sp macro="" textlink="">
      <xdr:nvSpPr>
        <xdr:cNvPr id="32" name="TextBox 4">
          <a:extLst>
            <a:ext uri="{FF2B5EF4-FFF2-40B4-BE49-F238E27FC236}">
              <a16:creationId xmlns:a16="http://schemas.microsoft.com/office/drawing/2014/main" id="{9E45BD33-2078-4AD5-9AB7-21CD8C3DDBE7}"/>
            </a:ext>
            <a:ext uri="{147F2762-F138-4A5C-976F-8EAC2B608ADB}">
              <a16:predDERef xmlns:a16="http://schemas.microsoft.com/office/drawing/2014/main" pred="{BBC032A1-83D8-4493-A082-CFB7C4B94155}"/>
            </a:ext>
          </a:extLst>
        </xdr:cNvPr>
        <xdr:cNvSpPr txBox="1"/>
      </xdr:nvSpPr>
      <xdr:spPr>
        <a:xfrm>
          <a:off x="27498675" y="4759326"/>
          <a:ext cx="13239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created</a:t>
          </a:r>
        </a:p>
      </xdr:txBody>
    </xdr:sp>
    <xdr:clientData/>
  </xdr:twoCellAnchor>
  <xdr:twoCellAnchor>
    <xdr:from>
      <xdr:col>59</xdr:col>
      <xdr:colOff>28575</xdr:colOff>
      <xdr:row>25</xdr:row>
      <xdr:rowOff>161925</xdr:rowOff>
    </xdr:from>
    <xdr:to>
      <xdr:col>65</xdr:col>
      <xdr:colOff>762000</xdr:colOff>
      <xdr:row>38</xdr:row>
      <xdr:rowOff>171450</xdr:rowOff>
    </xdr:to>
    <xdr:graphicFrame macro="">
      <xdr:nvGraphicFramePr>
        <xdr:cNvPr id="67" name="Chart 20" descr="Chart type: Clustered Column. 'Gap (%)'&#10;&#10;Description automatically generated">
          <a:extLst>
            <a:ext uri="{FF2B5EF4-FFF2-40B4-BE49-F238E27FC236}">
              <a16:creationId xmlns:a16="http://schemas.microsoft.com/office/drawing/2014/main" id="{00E5D0D9-9337-4249-939B-247361E5BDCC}"/>
            </a:ext>
            <a:ext uri="{147F2762-F138-4A5C-976F-8EAC2B608ADB}">
              <a16:predDERef xmlns:a16="http://schemas.microsoft.com/office/drawing/2014/main" pred="{9E45BD33-2078-4AD5-9AB7-21CD8C3DDB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71</xdr:col>
      <xdr:colOff>180975</xdr:colOff>
      <xdr:row>24</xdr:row>
      <xdr:rowOff>206376</xdr:rowOff>
    </xdr:from>
    <xdr:to>
      <xdr:col>73</xdr:col>
      <xdr:colOff>342900</xdr:colOff>
      <xdr:row>25</xdr:row>
      <xdr:rowOff>187326</xdr:rowOff>
    </xdr:to>
    <xdr:sp macro="" textlink="">
      <xdr:nvSpPr>
        <xdr:cNvPr id="35" name="TextBox 4">
          <a:extLst>
            <a:ext uri="{FF2B5EF4-FFF2-40B4-BE49-F238E27FC236}">
              <a16:creationId xmlns:a16="http://schemas.microsoft.com/office/drawing/2014/main" id="{8875A173-C8B8-4CA3-833D-D61C1D1EB7A7}"/>
            </a:ext>
            <a:ext uri="{147F2762-F138-4A5C-976F-8EAC2B608ADB}">
              <a16:predDERef xmlns:a16="http://schemas.microsoft.com/office/drawing/2014/main" pred="{00E5D0D9-9337-4249-939B-247361E5BDCC}"/>
            </a:ext>
          </a:extLst>
        </xdr:cNvPr>
        <xdr:cNvSpPr txBox="1"/>
      </xdr:nvSpPr>
      <xdr:spPr>
        <a:xfrm>
          <a:off x="29203650" y="4759326"/>
          <a:ext cx="12477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closed</a:t>
          </a:r>
        </a:p>
      </xdr:txBody>
    </xdr:sp>
    <xdr:clientData/>
  </xdr:twoCellAnchor>
  <xdr:twoCellAnchor>
    <xdr:from>
      <xdr:col>68</xdr:col>
      <xdr:colOff>180975</xdr:colOff>
      <xdr:row>24</xdr:row>
      <xdr:rowOff>206376</xdr:rowOff>
    </xdr:from>
    <xdr:to>
      <xdr:col>70</xdr:col>
      <xdr:colOff>342900</xdr:colOff>
      <xdr:row>25</xdr:row>
      <xdr:rowOff>187326</xdr:rowOff>
    </xdr:to>
    <xdr:sp macro="" textlink="">
      <xdr:nvSpPr>
        <xdr:cNvPr id="36" name="TextBox 4">
          <a:extLst>
            <a:ext uri="{FF2B5EF4-FFF2-40B4-BE49-F238E27FC236}">
              <a16:creationId xmlns:a16="http://schemas.microsoft.com/office/drawing/2014/main" id="{D6B1F916-A3B1-4005-9A82-2B2909006313}"/>
            </a:ext>
            <a:ext uri="{147F2762-F138-4A5C-976F-8EAC2B608ADB}">
              <a16:predDERef xmlns:a16="http://schemas.microsoft.com/office/drawing/2014/main" pred="{8875A173-C8B8-4CA3-833D-D61C1D1EB7A7}"/>
            </a:ext>
          </a:extLst>
        </xdr:cNvPr>
        <xdr:cNvSpPr txBox="1"/>
      </xdr:nvSpPr>
      <xdr:spPr>
        <a:xfrm>
          <a:off x="27498675" y="4759326"/>
          <a:ext cx="13239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created</a:t>
          </a:r>
        </a:p>
      </xdr:txBody>
    </xdr:sp>
    <xdr:clientData/>
  </xdr:twoCellAnchor>
  <xdr:twoCellAnchor>
    <xdr:from>
      <xdr:col>67</xdr:col>
      <xdr:colOff>28575</xdr:colOff>
      <xdr:row>25</xdr:row>
      <xdr:rowOff>161925</xdr:rowOff>
    </xdr:from>
    <xdr:to>
      <xdr:col>73</xdr:col>
      <xdr:colOff>762000</xdr:colOff>
      <xdr:row>38</xdr:row>
      <xdr:rowOff>171450</xdr:rowOff>
    </xdr:to>
    <xdr:graphicFrame macro="">
      <xdr:nvGraphicFramePr>
        <xdr:cNvPr id="69" name="Chart 20" descr="Chart type: Clustered Column. 'Gap (%)'&#10;&#10;Description automatically generated">
          <a:extLst>
            <a:ext uri="{FF2B5EF4-FFF2-40B4-BE49-F238E27FC236}">
              <a16:creationId xmlns:a16="http://schemas.microsoft.com/office/drawing/2014/main" id="{1A2F7094-5777-4B4E-9A09-84D72D15C455}"/>
            </a:ext>
            <a:ext uri="{147F2762-F138-4A5C-976F-8EAC2B608ADB}">
              <a16:predDERef xmlns:a16="http://schemas.microsoft.com/office/drawing/2014/main" pred="{D6B1F916-A3B1-4005-9A82-2B29090063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79</xdr:col>
      <xdr:colOff>180975</xdr:colOff>
      <xdr:row>24</xdr:row>
      <xdr:rowOff>206376</xdr:rowOff>
    </xdr:from>
    <xdr:to>
      <xdr:col>81</xdr:col>
      <xdr:colOff>342900</xdr:colOff>
      <xdr:row>25</xdr:row>
      <xdr:rowOff>187326</xdr:rowOff>
    </xdr:to>
    <xdr:sp macro="" textlink="">
      <xdr:nvSpPr>
        <xdr:cNvPr id="38" name="TextBox 4">
          <a:extLst>
            <a:ext uri="{FF2B5EF4-FFF2-40B4-BE49-F238E27FC236}">
              <a16:creationId xmlns:a16="http://schemas.microsoft.com/office/drawing/2014/main" id="{F4EC6CE4-0D61-4FF8-B53B-BC1403073436}"/>
            </a:ext>
            <a:ext uri="{147F2762-F138-4A5C-976F-8EAC2B608ADB}">
              <a16:predDERef xmlns:a16="http://schemas.microsoft.com/office/drawing/2014/main" pred="{1A2F7094-5777-4B4E-9A09-84D72D15C455}"/>
            </a:ext>
          </a:extLst>
        </xdr:cNvPr>
        <xdr:cNvSpPr txBox="1"/>
      </xdr:nvSpPr>
      <xdr:spPr>
        <a:xfrm>
          <a:off x="29203650" y="4759326"/>
          <a:ext cx="12477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closed</a:t>
          </a:r>
        </a:p>
      </xdr:txBody>
    </xdr:sp>
    <xdr:clientData/>
  </xdr:twoCellAnchor>
  <xdr:twoCellAnchor>
    <xdr:from>
      <xdr:col>76</xdr:col>
      <xdr:colOff>180975</xdr:colOff>
      <xdr:row>24</xdr:row>
      <xdr:rowOff>206376</xdr:rowOff>
    </xdr:from>
    <xdr:to>
      <xdr:col>78</xdr:col>
      <xdr:colOff>342900</xdr:colOff>
      <xdr:row>25</xdr:row>
      <xdr:rowOff>187326</xdr:rowOff>
    </xdr:to>
    <xdr:sp macro="" textlink="">
      <xdr:nvSpPr>
        <xdr:cNvPr id="39" name="TextBox 4">
          <a:extLst>
            <a:ext uri="{FF2B5EF4-FFF2-40B4-BE49-F238E27FC236}">
              <a16:creationId xmlns:a16="http://schemas.microsoft.com/office/drawing/2014/main" id="{9DF82FF5-0A1D-4F6C-98E5-73665C171060}"/>
            </a:ext>
            <a:ext uri="{147F2762-F138-4A5C-976F-8EAC2B608ADB}">
              <a16:predDERef xmlns:a16="http://schemas.microsoft.com/office/drawing/2014/main" pred="{F4EC6CE4-0D61-4FF8-B53B-BC1403073436}"/>
            </a:ext>
          </a:extLst>
        </xdr:cNvPr>
        <xdr:cNvSpPr txBox="1"/>
      </xdr:nvSpPr>
      <xdr:spPr>
        <a:xfrm>
          <a:off x="27498675" y="4759326"/>
          <a:ext cx="13239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created</a:t>
          </a:r>
        </a:p>
      </xdr:txBody>
    </xdr:sp>
    <xdr:clientData/>
  </xdr:twoCellAnchor>
  <xdr:twoCellAnchor>
    <xdr:from>
      <xdr:col>75</xdr:col>
      <xdr:colOff>28575</xdr:colOff>
      <xdr:row>25</xdr:row>
      <xdr:rowOff>161925</xdr:rowOff>
    </xdr:from>
    <xdr:to>
      <xdr:col>81</xdr:col>
      <xdr:colOff>762000</xdr:colOff>
      <xdr:row>38</xdr:row>
      <xdr:rowOff>171450</xdr:rowOff>
    </xdr:to>
    <xdr:graphicFrame macro="">
      <xdr:nvGraphicFramePr>
        <xdr:cNvPr id="71" name="Chart 20" descr="Chart type: Clustered Column. 'Gap (%)'&#10;&#10;Description automatically generated">
          <a:extLst>
            <a:ext uri="{FF2B5EF4-FFF2-40B4-BE49-F238E27FC236}">
              <a16:creationId xmlns:a16="http://schemas.microsoft.com/office/drawing/2014/main" id="{C22E71F6-8122-4DF1-9430-14FF62DBCEC7}"/>
            </a:ext>
            <a:ext uri="{147F2762-F138-4A5C-976F-8EAC2B608ADB}">
              <a16:predDERef xmlns:a16="http://schemas.microsoft.com/office/drawing/2014/main" pred="{9DF82FF5-0A1D-4F6C-98E5-73665C1710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87</xdr:col>
      <xdr:colOff>180975</xdr:colOff>
      <xdr:row>24</xdr:row>
      <xdr:rowOff>206376</xdr:rowOff>
    </xdr:from>
    <xdr:to>
      <xdr:col>89</xdr:col>
      <xdr:colOff>342900</xdr:colOff>
      <xdr:row>25</xdr:row>
      <xdr:rowOff>187326</xdr:rowOff>
    </xdr:to>
    <xdr:sp macro="" textlink="">
      <xdr:nvSpPr>
        <xdr:cNvPr id="41" name="TextBox 4">
          <a:extLst>
            <a:ext uri="{FF2B5EF4-FFF2-40B4-BE49-F238E27FC236}">
              <a16:creationId xmlns:a16="http://schemas.microsoft.com/office/drawing/2014/main" id="{20F1F1AE-59C7-436A-AEFB-403C4636BBDF}"/>
            </a:ext>
            <a:ext uri="{147F2762-F138-4A5C-976F-8EAC2B608ADB}">
              <a16:predDERef xmlns:a16="http://schemas.microsoft.com/office/drawing/2014/main" pred="{C22E71F6-8122-4DF1-9430-14FF62DBCEC7}"/>
            </a:ext>
          </a:extLst>
        </xdr:cNvPr>
        <xdr:cNvSpPr txBox="1"/>
      </xdr:nvSpPr>
      <xdr:spPr>
        <a:xfrm>
          <a:off x="29203650" y="4759326"/>
          <a:ext cx="12477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closed</a:t>
          </a:r>
        </a:p>
      </xdr:txBody>
    </xdr:sp>
    <xdr:clientData/>
  </xdr:twoCellAnchor>
  <xdr:twoCellAnchor>
    <xdr:from>
      <xdr:col>84</xdr:col>
      <xdr:colOff>180975</xdr:colOff>
      <xdr:row>24</xdr:row>
      <xdr:rowOff>206376</xdr:rowOff>
    </xdr:from>
    <xdr:to>
      <xdr:col>86</xdr:col>
      <xdr:colOff>342900</xdr:colOff>
      <xdr:row>25</xdr:row>
      <xdr:rowOff>187326</xdr:rowOff>
    </xdr:to>
    <xdr:sp macro="" textlink="">
      <xdr:nvSpPr>
        <xdr:cNvPr id="42" name="TextBox 4">
          <a:extLst>
            <a:ext uri="{FF2B5EF4-FFF2-40B4-BE49-F238E27FC236}">
              <a16:creationId xmlns:a16="http://schemas.microsoft.com/office/drawing/2014/main" id="{3DFF4BCE-E107-4992-8514-E114C2AD5E32}"/>
            </a:ext>
            <a:ext uri="{147F2762-F138-4A5C-976F-8EAC2B608ADB}">
              <a16:predDERef xmlns:a16="http://schemas.microsoft.com/office/drawing/2014/main" pred="{20F1F1AE-59C7-436A-AEFB-403C4636BBDF}"/>
            </a:ext>
          </a:extLst>
        </xdr:cNvPr>
        <xdr:cNvSpPr txBox="1"/>
      </xdr:nvSpPr>
      <xdr:spPr>
        <a:xfrm>
          <a:off x="27498675" y="4759326"/>
          <a:ext cx="13239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created</a:t>
          </a:r>
        </a:p>
      </xdr:txBody>
    </xdr:sp>
    <xdr:clientData/>
  </xdr:twoCellAnchor>
  <xdr:twoCellAnchor>
    <xdr:from>
      <xdr:col>83</xdr:col>
      <xdr:colOff>28575</xdr:colOff>
      <xdr:row>25</xdr:row>
      <xdr:rowOff>161925</xdr:rowOff>
    </xdr:from>
    <xdr:to>
      <xdr:col>89</xdr:col>
      <xdr:colOff>762000</xdr:colOff>
      <xdr:row>38</xdr:row>
      <xdr:rowOff>171450</xdr:rowOff>
    </xdr:to>
    <xdr:graphicFrame macro="">
      <xdr:nvGraphicFramePr>
        <xdr:cNvPr id="73" name="Chart 20" descr="Chart type: Clustered Column. 'Gap (%)'&#10;&#10;Description automatically generated">
          <a:extLst>
            <a:ext uri="{FF2B5EF4-FFF2-40B4-BE49-F238E27FC236}">
              <a16:creationId xmlns:a16="http://schemas.microsoft.com/office/drawing/2014/main" id="{87D8437A-AD4F-4E86-94DD-799618292B80}"/>
            </a:ext>
            <a:ext uri="{147F2762-F138-4A5C-976F-8EAC2B608ADB}">
              <a16:predDERef xmlns:a16="http://schemas.microsoft.com/office/drawing/2014/main" pred="{3DFF4BCE-E107-4992-8514-E114C2AD5E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180975</xdr:colOff>
      <xdr:row>24</xdr:row>
      <xdr:rowOff>206376</xdr:rowOff>
    </xdr:from>
    <xdr:to>
      <xdr:col>97</xdr:col>
      <xdr:colOff>342900</xdr:colOff>
      <xdr:row>25</xdr:row>
      <xdr:rowOff>187326</xdr:rowOff>
    </xdr:to>
    <xdr:sp macro="" textlink="">
      <xdr:nvSpPr>
        <xdr:cNvPr id="44" name="TextBox 4">
          <a:extLst>
            <a:ext uri="{FF2B5EF4-FFF2-40B4-BE49-F238E27FC236}">
              <a16:creationId xmlns:a16="http://schemas.microsoft.com/office/drawing/2014/main" id="{5066CC81-B88D-4442-A65E-3E1F2113C5E4}"/>
            </a:ext>
            <a:ext uri="{147F2762-F138-4A5C-976F-8EAC2B608ADB}">
              <a16:predDERef xmlns:a16="http://schemas.microsoft.com/office/drawing/2014/main" pred="{87D8437A-AD4F-4E86-94DD-799618292B80}"/>
            </a:ext>
          </a:extLst>
        </xdr:cNvPr>
        <xdr:cNvSpPr txBox="1"/>
      </xdr:nvSpPr>
      <xdr:spPr>
        <a:xfrm>
          <a:off x="29203650" y="4759326"/>
          <a:ext cx="12477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closed</a:t>
          </a:r>
        </a:p>
      </xdr:txBody>
    </xdr:sp>
    <xdr:clientData/>
  </xdr:twoCellAnchor>
  <xdr:twoCellAnchor>
    <xdr:from>
      <xdr:col>92</xdr:col>
      <xdr:colOff>180975</xdr:colOff>
      <xdr:row>24</xdr:row>
      <xdr:rowOff>206376</xdr:rowOff>
    </xdr:from>
    <xdr:to>
      <xdr:col>94</xdr:col>
      <xdr:colOff>342900</xdr:colOff>
      <xdr:row>25</xdr:row>
      <xdr:rowOff>187326</xdr:rowOff>
    </xdr:to>
    <xdr:sp macro="" textlink="">
      <xdr:nvSpPr>
        <xdr:cNvPr id="45" name="TextBox 4">
          <a:extLst>
            <a:ext uri="{FF2B5EF4-FFF2-40B4-BE49-F238E27FC236}">
              <a16:creationId xmlns:a16="http://schemas.microsoft.com/office/drawing/2014/main" id="{EF6AE007-B117-4B44-8F7A-19F4D68D3A97}"/>
            </a:ext>
            <a:ext uri="{147F2762-F138-4A5C-976F-8EAC2B608ADB}">
              <a16:predDERef xmlns:a16="http://schemas.microsoft.com/office/drawing/2014/main" pred="{5066CC81-B88D-4442-A65E-3E1F2113C5E4}"/>
            </a:ext>
          </a:extLst>
        </xdr:cNvPr>
        <xdr:cNvSpPr txBox="1"/>
      </xdr:nvSpPr>
      <xdr:spPr>
        <a:xfrm>
          <a:off x="27498675" y="4759326"/>
          <a:ext cx="13239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created</a:t>
          </a:r>
        </a:p>
      </xdr:txBody>
    </xdr:sp>
    <xdr:clientData/>
  </xdr:twoCellAnchor>
  <xdr:twoCellAnchor>
    <xdr:from>
      <xdr:col>91</xdr:col>
      <xdr:colOff>28575</xdr:colOff>
      <xdr:row>25</xdr:row>
      <xdr:rowOff>161925</xdr:rowOff>
    </xdr:from>
    <xdr:to>
      <xdr:col>97</xdr:col>
      <xdr:colOff>762000</xdr:colOff>
      <xdr:row>38</xdr:row>
      <xdr:rowOff>171450</xdr:rowOff>
    </xdr:to>
    <xdr:graphicFrame macro="">
      <xdr:nvGraphicFramePr>
        <xdr:cNvPr id="75" name="Chart 20" descr="Chart type: Clustered Column. 'Gap (%)'&#10;&#10;Description automatically generated">
          <a:extLst>
            <a:ext uri="{FF2B5EF4-FFF2-40B4-BE49-F238E27FC236}">
              <a16:creationId xmlns:a16="http://schemas.microsoft.com/office/drawing/2014/main" id="{F7E6F4D2-DE0E-4AF3-84DA-FC5F8364DF9D}"/>
            </a:ext>
            <a:ext uri="{147F2762-F138-4A5C-976F-8EAC2B608ADB}">
              <a16:predDERef xmlns:a16="http://schemas.microsoft.com/office/drawing/2014/main" pred="{EF6AE007-B117-4B44-8F7A-19F4D68D3A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180975</xdr:colOff>
      <xdr:row>24</xdr:row>
      <xdr:rowOff>206376</xdr:rowOff>
    </xdr:from>
    <xdr:to>
      <xdr:col>105</xdr:col>
      <xdr:colOff>342900</xdr:colOff>
      <xdr:row>25</xdr:row>
      <xdr:rowOff>187326</xdr:rowOff>
    </xdr:to>
    <xdr:sp macro="" textlink="">
      <xdr:nvSpPr>
        <xdr:cNvPr id="47" name="TextBox 4">
          <a:extLst>
            <a:ext uri="{FF2B5EF4-FFF2-40B4-BE49-F238E27FC236}">
              <a16:creationId xmlns:a16="http://schemas.microsoft.com/office/drawing/2014/main" id="{3C290F3C-94EA-4A29-9645-8BB079802BBC}"/>
            </a:ext>
            <a:ext uri="{147F2762-F138-4A5C-976F-8EAC2B608ADB}">
              <a16:predDERef xmlns:a16="http://schemas.microsoft.com/office/drawing/2014/main" pred="{F7E6F4D2-DE0E-4AF3-84DA-FC5F8364DF9D}"/>
            </a:ext>
          </a:extLst>
        </xdr:cNvPr>
        <xdr:cNvSpPr txBox="1"/>
      </xdr:nvSpPr>
      <xdr:spPr>
        <a:xfrm>
          <a:off x="29203650" y="4759326"/>
          <a:ext cx="12477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closed</a:t>
          </a:r>
        </a:p>
      </xdr:txBody>
    </xdr:sp>
    <xdr:clientData/>
  </xdr:twoCellAnchor>
  <xdr:twoCellAnchor>
    <xdr:from>
      <xdr:col>100</xdr:col>
      <xdr:colOff>180975</xdr:colOff>
      <xdr:row>24</xdr:row>
      <xdr:rowOff>206376</xdr:rowOff>
    </xdr:from>
    <xdr:to>
      <xdr:col>102</xdr:col>
      <xdr:colOff>342900</xdr:colOff>
      <xdr:row>25</xdr:row>
      <xdr:rowOff>187326</xdr:rowOff>
    </xdr:to>
    <xdr:sp macro="" textlink="">
      <xdr:nvSpPr>
        <xdr:cNvPr id="48" name="TextBox 4">
          <a:extLst>
            <a:ext uri="{FF2B5EF4-FFF2-40B4-BE49-F238E27FC236}">
              <a16:creationId xmlns:a16="http://schemas.microsoft.com/office/drawing/2014/main" id="{BDCD8EC7-AD55-4A84-AF68-C4B28C5E179A}"/>
            </a:ext>
            <a:ext uri="{147F2762-F138-4A5C-976F-8EAC2B608ADB}">
              <a16:predDERef xmlns:a16="http://schemas.microsoft.com/office/drawing/2014/main" pred="{3C290F3C-94EA-4A29-9645-8BB079802BBC}"/>
            </a:ext>
          </a:extLst>
        </xdr:cNvPr>
        <xdr:cNvSpPr txBox="1"/>
      </xdr:nvSpPr>
      <xdr:spPr>
        <a:xfrm>
          <a:off x="27498675" y="4759326"/>
          <a:ext cx="13239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created</a:t>
          </a:r>
        </a:p>
      </xdr:txBody>
    </xdr:sp>
    <xdr:clientData/>
  </xdr:twoCellAnchor>
  <xdr:twoCellAnchor>
    <xdr:from>
      <xdr:col>99</xdr:col>
      <xdr:colOff>28575</xdr:colOff>
      <xdr:row>25</xdr:row>
      <xdr:rowOff>161925</xdr:rowOff>
    </xdr:from>
    <xdr:to>
      <xdr:col>105</xdr:col>
      <xdr:colOff>762000</xdr:colOff>
      <xdr:row>38</xdr:row>
      <xdr:rowOff>171450</xdr:rowOff>
    </xdr:to>
    <xdr:graphicFrame macro="">
      <xdr:nvGraphicFramePr>
        <xdr:cNvPr id="77" name="Chart 20" descr="Chart type: Clustered Column. 'Gap (%)'&#10;&#10;Description automatically generated">
          <a:extLst>
            <a:ext uri="{FF2B5EF4-FFF2-40B4-BE49-F238E27FC236}">
              <a16:creationId xmlns:a16="http://schemas.microsoft.com/office/drawing/2014/main" id="{7F98C1EA-EAA3-4A45-9E0A-6785EE6F13FE}"/>
            </a:ext>
            <a:ext uri="{147F2762-F138-4A5C-976F-8EAC2B608ADB}">
              <a16:predDERef xmlns:a16="http://schemas.microsoft.com/office/drawing/2014/main" pred="{BDCD8EC7-AD55-4A84-AF68-C4B28C5E17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111</xdr:col>
      <xdr:colOff>180975</xdr:colOff>
      <xdr:row>24</xdr:row>
      <xdr:rowOff>206376</xdr:rowOff>
    </xdr:from>
    <xdr:to>
      <xdr:col>113</xdr:col>
      <xdr:colOff>342900</xdr:colOff>
      <xdr:row>25</xdr:row>
      <xdr:rowOff>187326</xdr:rowOff>
    </xdr:to>
    <xdr:sp macro="" textlink="">
      <xdr:nvSpPr>
        <xdr:cNvPr id="51" name="TextBox 4">
          <a:extLst>
            <a:ext uri="{FF2B5EF4-FFF2-40B4-BE49-F238E27FC236}">
              <a16:creationId xmlns:a16="http://schemas.microsoft.com/office/drawing/2014/main" id="{6540C16A-94A6-470C-8B3B-498D8BAB368A}"/>
            </a:ext>
            <a:ext uri="{147F2762-F138-4A5C-976F-8EAC2B608ADB}">
              <a16:predDERef xmlns:a16="http://schemas.microsoft.com/office/drawing/2014/main" pred="{7F98C1EA-EAA3-4A45-9E0A-6785EE6F13FE}"/>
            </a:ext>
          </a:extLst>
        </xdr:cNvPr>
        <xdr:cNvSpPr txBox="1"/>
      </xdr:nvSpPr>
      <xdr:spPr>
        <a:xfrm>
          <a:off x="29203650" y="4759326"/>
          <a:ext cx="12477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closed</a:t>
          </a:r>
        </a:p>
      </xdr:txBody>
    </xdr:sp>
    <xdr:clientData/>
  </xdr:twoCellAnchor>
  <xdr:twoCellAnchor>
    <xdr:from>
      <xdr:col>108</xdr:col>
      <xdr:colOff>180975</xdr:colOff>
      <xdr:row>24</xdr:row>
      <xdr:rowOff>206376</xdr:rowOff>
    </xdr:from>
    <xdr:to>
      <xdr:col>110</xdr:col>
      <xdr:colOff>342900</xdr:colOff>
      <xdr:row>25</xdr:row>
      <xdr:rowOff>187326</xdr:rowOff>
    </xdr:to>
    <xdr:sp macro="" textlink="">
      <xdr:nvSpPr>
        <xdr:cNvPr id="52" name="TextBox 4">
          <a:extLst>
            <a:ext uri="{FF2B5EF4-FFF2-40B4-BE49-F238E27FC236}">
              <a16:creationId xmlns:a16="http://schemas.microsoft.com/office/drawing/2014/main" id="{27535414-8657-44C7-BEAC-883F863AFD96}"/>
            </a:ext>
            <a:ext uri="{147F2762-F138-4A5C-976F-8EAC2B608ADB}">
              <a16:predDERef xmlns:a16="http://schemas.microsoft.com/office/drawing/2014/main" pred="{6540C16A-94A6-470C-8B3B-498D8BAB368A}"/>
            </a:ext>
          </a:extLst>
        </xdr:cNvPr>
        <xdr:cNvSpPr txBox="1"/>
      </xdr:nvSpPr>
      <xdr:spPr>
        <a:xfrm>
          <a:off x="27498675" y="4759326"/>
          <a:ext cx="1323975" cy="219075"/>
        </a:xfrm>
        <a:prstGeom prst="rect">
          <a:avLst/>
        </a:prstGeom>
        <a:ln/>
      </xdr:spPr>
      <xdr:style>
        <a:lnRef idx="2">
          <a:schemeClr val="accent4"/>
        </a:lnRef>
        <a:fillRef idx="1">
          <a:schemeClr val="lt1"/>
        </a:fillRef>
        <a:effectRef idx="0">
          <a:schemeClr val="accent4"/>
        </a:effectRef>
        <a:fontRef idx="minor">
          <a:schemeClr val="dk1"/>
        </a:fontRef>
      </xdr:style>
      <xdr:txBody>
        <a:bodyPr spcFirstLastPara="0" wrap="square" lIns="91440" tIns="45720" rIns="91440" bIns="45720" rtlCol="0" anchor="ctr">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0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Jira tickets created</a:t>
          </a:r>
        </a:p>
      </xdr:txBody>
    </xdr:sp>
    <xdr:clientData/>
  </xdr:twoCellAnchor>
  <xdr:twoCellAnchor>
    <xdr:from>
      <xdr:col>107</xdr:col>
      <xdr:colOff>28575</xdr:colOff>
      <xdr:row>25</xdr:row>
      <xdr:rowOff>161925</xdr:rowOff>
    </xdr:from>
    <xdr:to>
      <xdr:col>113</xdr:col>
      <xdr:colOff>762000</xdr:colOff>
      <xdr:row>38</xdr:row>
      <xdr:rowOff>171450</xdr:rowOff>
    </xdr:to>
    <xdr:graphicFrame macro="">
      <xdr:nvGraphicFramePr>
        <xdr:cNvPr id="79" name="Chart 20" descr="Chart type: Clustered Column. 'Gap (%)'&#10;&#10;Description automatically generated">
          <a:extLst>
            <a:ext uri="{FF2B5EF4-FFF2-40B4-BE49-F238E27FC236}">
              <a16:creationId xmlns:a16="http://schemas.microsoft.com/office/drawing/2014/main" id="{E74FF3C4-CCE3-4AFF-BF34-AA2E01C5B4E4}"/>
            </a:ext>
            <a:ext uri="{147F2762-F138-4A5C-976F-8EAC2B608ADB}">
              <a16:predDERef xmlns:a16="http://schemas.microsoft.com/office/drawing/2014/main" pred="{27535414-8657-44C7-BEAC-883F863AFD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1962150</xdr:colOff>
      <xdr:row>44</xdr:row>
      <xdr:rowOff>117475</xdr:rowOff>
    </xdr:from>
    <xdr:to>
      <xdr:col>2</xdr:col>
      <xdr:colOff>3435350</xdr:colOff>
      <xdr:row>52</xdr:row>
      <xdr:rowOff>215900</xdr:rowOff>
    </xdr:to>
    <xdr:sp macro="" textlink="">
      <xdr:nvSpPr>
        <xdr:cNvPr id="2" name="Rectangular Callout 1">
          <a:extLst>
            <a:ext uri="{FF2B5EF4-FFF2-40B4-BE49-F238E27FC236}">
              <a16:creationId xmlns:a16="http://schemas.microsoft.com/office/drawing/2014/main" id="{B40A1688-AE69-B111-2EDA-A1163A202C11}"/>
            </a:ext>
          </a:extLst>
        </xdr:cNvPr>
        <xdr:cNvSpPr/>
      </xdr:nvSpPr>
      <xdr:spPr>
        <a:xfrm rot="10800000" flipV="1">
          <a:off x="2609850" y="17252950"/>
          <a:ext cx="1473200" cy="1879600"/>
        </a:xfrm>
        <a:prstGeom prst="wedgeRectCallout">
          <a:avLst>
            <a:gd name="adj1" fmla="val -62455"/>
            <a:gd name="adj2" fmla="val 2239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Actual data </a:t>
          </a:r>
          <a:r>
            <a:rPr lang="en-US" sz="1100" baseline="0"/>
            <a:t> enter value from following options - </a:t>
          </a:r>
        </a:p>
        <a:p>
          <a:pPr lvl="0" algn="l"/>
          <a:r>
            <a:rPr lang="en-US" sz="1100" baseline="0"/>
            <a:t>   </a:t>
          </a:r>
          <a:r>
            <a:rPr lang="en-US" sz="1100" b="1" baseline="0">
              <a:solidFill>
                <a:srgbClr val="FFFF00"/>
              </a:solidFill>
            </a:rPr>
            <a:t>Y</a:t>
          </a:r>
          <a:r>
            <a:rPr lang="en-US" sz="1100" baseline="0"/>
            <a:t> (covered)</a:t>
          </a:r>
        </a:p>
        <a:p>
          <a:pPr lvl="0" algn="l"/>
          <a:r>
            <a:rPr lang="en-US" sz="1100" baseline="0"/>
            <a:t>   </a:t>
          </a:r>
          <a:r>
            <a:rPr lang="en-US" sz="1100" b="1" baseline="0">
              <a:solidFill>
                <a:srgbClr val="FFFF00"/>
              </a:solidFill>
            </a:rPr>
            <a:t>N</a:t>
          </a:r>
          <a:r>
            <a:rPr lang="en-US" sz="1100" baseline="0"/>
            <a:t> (not covered)</a:t>
          </a:r>
        </a:p>
        <a:p>
          <a:pPr lvl="0" algn="l"/>
          <a:r>
            <a:rPr lang="en-US" sz="1100" baseline="0"/>
            <a:t>   </a:t>
          </a:r>
          <a:r>
            <a:rPr lang="en-US" sz="1100" b="1" baseline="0">
              <a:solidFill>
                <a:srgbClr val="FFFF00"/>
              </a:solidFill>
            </a:rPr>
            <a:t>Partial</a:t>
          </a:r>
          <a:r>
            <a:rPr lang="en-US" sz="1100" baseline="0"/>
            <a:t> (partially covered)</a:t>
          </a:r>
        </a:p>
        <a:p>
          <a:pPr lvl="0" algn="l"/>
          <a:r>
            <a:rPr lang="en-US" sz="1100" baseline="0"/>
            <a:t>   </a:t>
          </a:r>
          <a:r>
            <a:rPr lang="en-US" sz="1100" b="1" baseline="0">
              <a:solidFill>
                <a:srgbClr val="FFFF00"/>
              </a:solidFill>
            </a:rPr>
            <a:t>N/A</a:t>
          </a:r>
          <a:r>
            <a:rPr lang="en-US" sz="1100" baseline="0"/>
            <a:t> (not applicable)</a:t>
          </a:r>
        </a:p>
        <a:p>
          <a:pPr lvl="0" algn="l"/>
          <a:r>
            <a:rPr lang="en-US" sz="1100" baseline="0"/>
            <a:t>   </a:t>
          </a:r>
          <a:r>
            <a:rPr lang="en-US" sz="1100" b="1" baseline="0">
              <a:solidFill>
                <a:srgbClr val="FFFF00"/>
              </a:solidFill>
            </a:rPr>
            <a:t>TBD</a:t>
          </a:r>
          <a:r>
            <a:rPr lang="en-US" sz="1100" baseline="0"/>
            <a:t> (not evaluated or under discussion)</a:t>
          </a:r>
        </a:p>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1120775</xdr:colOff>
      <xdr:row>1</xdr:row>
      <xdr:rowOff>79375</xdr:rowOff>
    </xdr:from>
    <xdr:to>
      <xdr:col>7</xdr:col>
      <xdr:colOff>663575</xdr:colOff>
      <xdr:row>12</xdr:row>
      <xdr:rowOff>168275</xdr:rowOff>
    </xdr:to>
    <xdr:sp macro="" textlink="">
      <xdr:nvSpPr>
        <xdr:cNvPr id="2" name="Rounded Rectangular Callout 1">
          <a:extLst>
            <a:ext uri="{FF2B5EF4-FFF2-40B4-BE49-F238E27FC236}">
              <a16:creationId xmlns:a16="http://schemas.microsoft.com/office/drawing/2014/main" id="{9C272478-A9F9-D441-AF66-48ACDF3BC9E9}"/>
            </a:ext>
          </a:extLst>
        </xdr:cNvPr>
        <xdr:cNvSpPr/>
      </xdr:nvSpPr>
      <xdr:spPr>
        <a:xfrm>
          <a:off x="6162675" y="269875"/>
          <a:ext cx="6197600" cy="1803400"/>
        </a:xfrm>
        <a:prstGeom prst="wedgeRoundRectCallout">
          <a:avLst>
            <a:gd name="adj1" fmla="val -66998"/>
            <a:gd name="adj2" fmla="val 17572"/>
            <a:gd name="adj3"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400">
              <a:solidFill>
                <a:schemeClr val="lt1"/>
              </a:solidFill>
              <a:latin typeface="+mn-lt"/>
              <a:ea typeface="+mn-lt"/>
              <a:cs typeface="+mn-lt"/>
            </a:rPr>
            <a:t>Please create BEpics for your services to start the maturity assessment with collaboration with SRE team, and update the BEpics sheet to list BEpic for each of the respective service.</a:t>
          </a:r>
        </a:p>
        <a:p>
          <a:pPr marL="0" indent="0" algn="l"/>
          <a:endParaRPr lang="en-US" sz="1400" b="1">
            <a:solidFill>
              <a:schemeClr val="lt1"/>
            </a:solidFill>
            <a:latin typeface="+mn-lt"/>
            <a:ea typeface="+mn-lt"/>
            <a:cs typeface="+mn-lt"/>
          </a:endParaRPr>
        </a:p>
        <a:p>
          <a:pPr marL="0" indent="0" algn="l"/>
          <a:r>
            <a:rPr lang="en-US" sz="1400" b="1">
              <a:solidFill>
                <a:schemeClr val="lt1"/>
              </a:solidFill>
              <a:latin typeface="+mn-lt"/>
              <a:ea typeface="+mn-lt"/>
              <a:cs typeface="+mn-lt"/>
            </a:rPr>
            <a:t>Sample BEpic:</a:t>
          </a:r>
          <a:r>
            <a:rPr lang="en-US" sz="1400">
              <a:solidFill>
                <a:schemeClr val="lt1"/>
              </a:solidFill>
              <a:latin typeface="+mn-lt"/>
              <a:ea typeface="+mn-lt"/>
              <a:cs typeface="+mn-lt"/>
            </a:rPr>
            <a:t> https://engjira.int.kronos.com/browse/EP-7158</a:t>
          </a:r>
        </a:p>
      </xdr:txBody>
    </xdr:sp>
    <xdr:clientData/>
  </xdr:twoCellAnchor>
  <xdr:twoCellAnchor>
    <xdr:from>
      <xdr:col>8</xdr:col>
      <xdr:colOff>203200</xdr:colOff>
      <xdr:row>5</xdr:row>
      <xdr:rowOff>114300</xdr:rowOff>
    </xdr:from>
    <xdr:to>
      <xdr:col>11</xdr:col>
      <xdr:colOff>12700</xdr:colOff>
      <xdr:row>15</xdr:row>
      <xdr:rowOff>25400</xdr:rowOff>
    </xdr:to>
    <xdr:sp macro="" textlink="">
      <xdr:nvSpPr>
        <xdr:cNvPr id="3" name="Rounded Rectangular Callout 2">
          <a:extLst>
            <a:ext uri="{FF2B5EF4-FFF2-40B4-BE49-F238E27FC236}">
              <a16:creationId xmlns:a16="http://schemas.microsoft.com/office/drawing/2014/main" id="{0967B587-58CF-D642-B820-D92B69FEB4B2}"/>
            </a:ext>
          </a:extLst>
        </xdr:cNvPr>
        <xdr:cNvSpPr/>
      </xdr:nvSpPr>
      <xdr:spPr>
        <a:xfrm>
          <a:off x="14643100" y="1066800"/>
          <a:ext cx="3937000" cy="1435100"/>
        </a:xfrm>
        <a:prstGeom prst="wedgeRoundRectCallout">
          <a:avLst>
            <a:gd name="adj1" fmla="val -19256"/>
            <a:gd name="adj2" fmla="val 99317"/>
            <a:gd name="adj3"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t>The</a:t>
          </a:r>
          <a:r>
            <a:rPr lang="en-US" sz="1400" baseline="0"/>
            <a:t> JIRAs will automatically appear once entered in the &lt;VS&gt; (Maturity Eval) sheet (column: JIRA Ref) for each of the respective service.</a:t>
          </a:r>
          <a:endParaRPr lang="en-US" sz="1400"/>
        </a:p>
      </xdr:txBody>
    </xdr:sp>
    <xdr:clientData/>
  </xdr:twoCellAnchor>
  <xdr:twoCellAnchor>
    <xdr:from>
      <xdr:col>11</xdr:col>
      <xdr:colOff>431800</xdr:colOff>
      <xdr:row>21</xdr:row>
      <xdr:rowOff>165100</xdr:rowOff>
    </xdr:from>
    <xdr:to>
      <xdr:col>17</xdr:col>
      <xdr:colOff>355600</xdr:colOff>
      <xdr:row>36</xdr:row>
      <xdr:rowOff>25400</xdr:rowOff>
    </xdr:to>
    <xdr:sp macro="" textlink="">
      <xdr:nvSpPr>
        <xdr:cNvPr id="4" name="Rounded Rectangular Callout 3">
          <a:extLst>
            <a:ext uri="{FF2B5EF4-FFF2-40B4-BE49-F238E27FC236}">
              <a16:creationId xmlns:a16="http://schemas.microsoft.com/office/drawing/2014/main" id="{FA66FA8A-A2BF-B64C-B670-D30537D77006}"/>
            </a:ext>
          </a:extLst>
        </xdr:cNvPr>
        <xdr:cNvSpPr/>
      </xdr:nvSpPr>
      <xdr:spPr>
        <a:xfrm>
          <a:off x="18999200" y="4013200"/>
          <a:ext cx="3962400" cy="2565400"/>
        </a:xfrm>
        <a:prstGeom prst="wedgeRoundRectCallout">
          <a:avLst>
            <a:gd name="adj1" fmla="val -66985"/>
            <a:gd name="adj2" fmla="val -24320"/>
            <a:gd name="adj3"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t>For tracking</a:t>
          </a:r>
          <a:r>
            <a:rPr lang="en-US" sz="1400" baseline="0"/>
            <a:t> and leadership reporting, update the JIRA status as one of the following (note the case sensitive) -</a:t>
          </a:r>
        </a:p>
        <a:p>
          <a:pPr algn="l"/>
          <a:r>
            <a:rPr lang="en-US" sz="1400" baseline="0"/>
            <a:t> </a:t>
          </a:r>
        </a:p>
        <a:p>
          <a:pPr algn="l"/>
          <a:r>
            <a:rPr lang="en-US" sz="1400" baseline="0"/>
            <a:t>     - In Progress</a:t>
          </a:r>
        </a:p>
        <a:p>
          <a:pPr algn="l"/>
          <a:r>
            <a:rPr lang="en-US" sz="1400" baseline="0"/>
            <a:t>     - Closed</a:t>
          </a:r>
        </a:p>
        <a:p>
          <a:pPr algn="l"/>
          <a:endParaRPr lang="en-US" sz="1400" baseline="0"/>
        </a:p>
        <a:p>
          <a:pPr algn="l"/>
          <a:r>
            <a:rPr lang="en-US" sz="1400" baseline="0"/>
            <a:t>Accordingly, the status will be updated in the Maturity Assessment (Summary) sheet for leadership.</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kginc-my.sharepoint.com/personal/seth_shepherd_ukg_com/Documents/FleX%20Observability%20&amp;%20Resiliency%20Health%20Baseline.xlsm" TargetMode="External"/><Relationship Id="rId1" Type="http://schemas.openxmlformats.org/officeDocument/2006/relationships/externalLinkPath" Target="https://ukginc-my.sharepoint.com/personal/seth_shepherd_ukg_com/Documents/FleX%20Observability%20&amp;%20Resiliency%20Health%20Baselin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pproach"/>
      <sheetName val="Layer to Metric (mapping)"/>
      <sheetName val="Instructions"/>
      <sheetName val="Heatmap Target"/>
      <sheetName val="RACI"/>
      <sheetName val="AI (Heatmap)"/>
      <sheetName val="AI (Raw data)"/>
      <sheetName val="AI - Maturity Assessment "/>
      <sheetName val="AI (Maturity Eval)"/>
      <sheetName val="AI - BEpics"/>
      <sheetName val="Identity (Heatmap)"/>
      <sheetName val="Identity (Raw data)"/>
      <sheetName val="AuthN - Maturity Assessment"/>
      <sheetName val="Identity (Maturity Eval)"/>
      <sheetName val="AuthN - BEpics"/>
      <sheetName val="AuthZ (Heatmap)"/>
      <sheetName val="AuthZ (Raw data)"/>
      <sheetName val="AuthZ Maturity Assessment"/>
      <sheetName val="AuthZ (Maturity Eval)"/>
      <sheetName val="AuthZ BEpics"/>
      <sheetName val="Flex Foundation (Heatmap)"/>
      <sheetName val="Flex Foundation (Raw data)"/>
      <sheetName val="Foundations Maturity Assessment"/>
      <sheetName val="Flex Foundation (Maturity Eval)"/>
      <sheetName val="FleX Foundations BEpics"/>
      <sheetName val="People Fabric (Heatmap)"/>
      <sheetName val="People Fabric (Raw data)"/>
      <sheetName val="PF Maturity Assessment"/>
      <sheetName val="People Fabric (Maturity Eval)"/>
      <sheetName val="PF BEpics"/>
      <sheetName val="Maturity Assessment (Summary)"/>
    </sheetNames>
    <sheetDataSet>
      <sheetData sheetId="0"/>
      <sheetData sheetId="1"/>
      <sheetData sheetId="2"/>
      <sheetData sheetId="3"/>
      <sheetData sheetId="4"/>
      <sheetData sheetId="5"/>
      <sheetData sheetId="6"/>
      <sheetData sheetId="7"/>
      <sheetData sheetId="8"/>
      <sheetData sheetId="9">
        <row r="19">
          <cell r="B19">
            <v>0</v>
          </cell>
          <cell r="C19" t="str">
            <v>Status</v>
          </cell>
          <cell r="D19">
            <v>0</v>
          </cell>
          <cell r="E19" t="str">
            <v>Status</v>
          </cell>
          <cell r="F19">
            <v>0</v>
          </cell>
          <cell r="G19" t="str">
            <v>Status</v>
          </cell>
          <cell r="H19">
            <v>0</v>
          </cell>
          <cell r="I19" t="str">
            <v>Status</v>
          </cell>
          <cell r="J19">
            <v>0</v>
          </cell>
          <cell r="K19" t="str">
            <v>Status</v>
          </cell>
        </row>
        <row r="20">
          <cell r="C20"/>
          <cell r="E20"/>
          <cell r="G20"/>
          <cell r="I20"/>
          <cell r="K20"/>
        </row>
        <row r="21">
          <cell r="C21"/>
          <cell r="E21"/>
          <cell r="G21"/>
          <cell r="I21"/>
          <cell r="K21"/>
        </row>
        <row r="22">
          <cell r="C22"/>
          <cell r="E22"/>
          <cell r="G22"/>
          <cell r="I22"/>
          <cell r="K22"/>
        </row>
        <row r="23">
          <cell r="C23"/>
          <cell r="E23"/>
          <cell r="G23"/>
          <cell r="I23"/>
          <cell r="K23"/>
        </row>
        <row r="24">
          <cell r="C24"/>
          <cell r="E24"/>
          <cell r="G24"/>
          <cell r="I24"/>
          <cell r="K24"/>
        </row>
        <row r="25">
          <cell r="C25"/>
          <cell r="E25"/>
          <cell r="G25"/>
          <cell r="I25"/>
          <cell r="K25"/>
        </row>
        <row r="26">
          <cell r="C26"/>
          <cell r="E26"/>
          <cell r="G26"/>
          <cell r="I26"/>
          <cell r="K26"/>
        </row>
        <row r="27">
          <cell r="B27">
            <v>0</v>
          </cell>
          <cell r="C27" t="str">
            <v>Status</v>
          </cell>
          <cell r="D27">
            <v>0</v>
          </cell>
          <cell r="E27" t="str">
            <v>Status</v>
          </cell>
          <cell r="F27">
            <v>0</v>
          </cell>
          <cell r="G27" t="str">
            <v>Status</v>
          </cell>
          <cell r="H27">
            <v>0</v>
          </cell>
          <cell r="I27" t="str">
            <v>Status</v>
          </cell>
          <cell r="J27">
            <v>0</v>
          </cell>
          <cell r="K27" t="str">
            <v>Status</v>
          </cell>
        </row>
        <row r="28">
          <cell r="C28"/>
          <cell r="E28"/>
          <cell r="G28"/>
          <cell r="I28"/>
          <cell r="K28"/>
        </row>
        <row r="29">
          <cell r="C29"/>
          <cell r="E29"/>
          <cell r="G29"/>
          <cell r="I29"/>
          <cell r="K29"/>
        </row>
        <row r="30">
          <cell r="C30"/>
          <cell r="E30"/>
          <cell r="G30"/>
          <cell r="I30"/>
          <cell r="K30"/>
        </row>
        <row r="31">
          <cell r="C31"/>
          <cell r="E31"/>
          <cell r="I31"/>
          <cell r="K31"/>
        </row>
        <row r="32">
          <cell r="C32"/>
          <cell r="E32"/>
          <cell r="G32"/>
          <cell r="I32"/>
          <cell r="K32"/>
        </row>
        <row r="33">
          <cell r="C33"/>
          <cell r="E33"/>
          <cell r="G33"/>
          <cell r="I33"/>
          <cell r="K33"/>
        </row>
        <row r="34">
          <cell r="C34"/>
          <cell r="E34"/>
          <cell r="G34"/>
          <cell r="I34"/>
          <cell r="K34"/>
        </row>
        <row r="35">
          <cell r="B35">
            <v>0</v>
          </cell>
          <cell r="C35" t="str">
            <v>Status</v>
          </cell>
          <cell r="D35">
            <v>0</v>
          </cell>
          <cell r="E35" t="str">
            <v>Status</v>
          </cell>
          <cell r="F35">
            <v>0</v>
          </cell>
          <cell r="G35" t="str">
            <v>Status</v>
          </cell>
          <cell r="H35">
            <v>0</v>
          </cell>
          <cell r="I35" t="str">
            <v>Status</v>
          </cell>
          <cell r="J35">
            <v>0</v>
          </cell>
          <cell r="K35" t="str">
            <v>Status</v>
          </cell>
        </row>
        <row r="36">
          <cell r="C36"/>
          <cell r="E36"/>
          <cell r="G36"/>
          <cell r="I36"/>
          <cell r="K36"/>
        </row>
        <row r="37">
          <cell r="C37"/>
          <cell r="E37"/>
          <cell r="G37"/>
          <cell r="I37"/>
          <cell r="K37"/>
        </row>
        <row r="38">
          <cell r="C38"/>
          <cell r="E38"/>
          <cell r="G38"/>
          <cell r="I38"/>
          <cell r="K38"/>
        </row>
        <row r="39">
          <cell r="C39"/>
          <cell r="E39"/>
          <cell r="G39"/>
          <cell r="I39"/>
          <cell r="K39"/>
        </row>
        <row r="40">
          <cell r="C40"/>
          <cell r="E40"/>
          <cell r="G40"/>
          <cell r="I40"/>
          <cell r="K40"/>
        </row>
        <row r="41">
          <cell r="C41"/>
          <cell r="E41"/>
          <cell r="G41"/>
          <cell r="I41"/>
          <cell r="K41"/>
        </row>
        <row r="42">
          <cell r="C42"/>
          <cell r="E42"/>
          <cell r="G42"/>
          <cell r="I42"/>
          <cell r="K42"/>
        </row>
        <row r="43">
          <cell r="B43">
            <v>0</v>
          </cell>
          <cell r="C43" t="str">
            <v>Status</v>
          </cell>
          <cell r="D43">
            <v>0</v>
          </cell>
          <cell r="E43" t="str">
            <v>Status</v>
          </cell>
          <cell r="F43">
            <v>0</v>
          </cell>
          <cell r="G43" t="str">
            <v>Status</v>
          </cell>
          <cell r="H43">
            <v>0</v>
          </cell>
          <cell r="I43" t="str">
            <v>Status</v>
          </cell>
          <cell r="J43">
            <v>0</v>
          </cell>
          <cell r="K43" t="str">
            <v>Status</v>
          </cell>
        </row>
        <row r="44">
          <cell r="C44"/>
          <cell r="E44"/>
          <cell r="G44"/>
          <cell r="I44"/>
          <cell r="K44"/>
        </row>
        <row r="45">
          <cell r="C45"/>
          <cell r="E45"/>
          <cell r="G45"/>
          <cell r="I45"/>
          <cell r="K45"/>
        </row>
        <row r="46">
          <cell r="C46"/>
          <cell r="E46"/>
          <cell r="G46"/>
          <cell r="I46"/>
          <cell r="K46"/>
        </row>
        <row r="47">
          <cell r="C47"/>
          <cell r="E47"/>
          <cell r="G47"/>
          <cell r="I47"/>
          <cell r="K47"/>
        </row>
        <row r="48">
          <cell r="C48"/>
          <cell r="E48"/>
          <cell r="G48"/>
          <cell r="I48"/>
          <cell r="K48"/>
        </row>
        <row r="49">
          <cell r="C49"/>
          <cell r="E49"/>
          <cell r="G49"/>
          <cell r="I49"/>
          <cell r="K49"/>
        </row>
        <row r="50">
          <cell r="C50"/>
          <cell r="E50"/>
          <cell r="G50"/>
          <cell r="I50"/>
          <cell r="K50"/>
        </row>
        <row r="51">
          <cell r="B51">
            <v>0</v>
          </cell>
          <cell r="C51" t="str">
            <v>Status</v>
          </cell>
          <cell r="D51">
            <v>0</v>
          </cell>
          <cell r="E51" t="str">
            <v>Status</v>
          </cell>
          <cell r="F51">
            <v>0</v>
          </cell>
          <cell r="G51" t="str">
            <v>Status</v>
          </cell>
          <cell r="H51">
            <v>0</v>
          </cell>
          <cell r="I51" t="str">
            <v>Status</v>
          </cell>
          <cell r="J51">
            <v>0</v>
          </cell>
          <cell r="K51" t="str">
            <v>Status</v>
          </cell>
        </row>
        <row r="52">
          <cell r="C52"/>
          <cell r="E52"/>
          <cell r="G52"/>
          <cell r="I52"/>
          <cell r="K52"/>
        </row>
        <row r="53">
          <cell r="C53"/>
          <cell r="E53"/>
          <cell r="G53"/>
          <cell r="I53"/>
          <cell r="K53"/>
        </row>
        <row r="54">
          <cell r="C54"/>
          <cell r="E54"/>
          <cell r="G54"/>
          <cell r="I54"/>
          <cell r="K54"/>
        </row>
        <row r="55">
          <cell r="C55"/>
          <cell r="E55"/>
          <cell r="G55"/>
          <cell r="I55"/>
          <cell r="K55"/>
        </row>
        <row r="56">
          <cell r="C56"/>
          <cell r="E56"/>
          <cell r="G56"/>
          <cell r="I56"/>
          <cell r="K56"/>
        </row>
        <row r="57">
          <cell r="C57"/>
          <cell r="E57"/>
          <cell r="G57"/>
          <cell r="I57"/>
          <cell r="K57"/>
        </row>
        <row r="58">
          <cell r="C58"/>
          <cell r="E58"/>
          <cell r="G58"/>
          <cell r="I58"/>
          <cell r="K58"/>
        </row>
        <row r="59">
          <cell r="B59">
            <v>0</v>
          </cell>
          <cell r="C59" t="str">
            <v>Status</v>
          </cell>
          <cell r="D59">
            <v>0</v>
          </cell>
          <cell r="E59" t="str">
            <v>Status</v>
          </cell>
          <cell r="F59">
            <v>0</v>
          </cell>
          <cell r="G59" t="str">
            <v>Status</v>
          </cell>
          <cell r="H59">
            <v>0</v>
          </cell>
          <cell r="I59" t="str">
            <v>Status</v>
          </cell>
          <cell r="J59">
            <v>0</v>
          </cell>
          <cell r="K59" t="str">
            <v>Status</v>
          </cell>
        </row>
        <row r="60">
          <cell r="C60"/>
          <cell r="E60"/>
          <cell r="G60"/>
          <cell r="I60"/>
          <cell r="K60"/>
        </row>
        <row r="61">
          <cell r="C61"/>
          <cell r="E61"/>
          <cell r="G61"/>
          <cell r="I61"/>
          <cell r="K61"/>
        </row>
        <row r="62">
          <cell r="C62"/>
          <cell r="E62"/>
          <cell r="G62"/>
          <cell r="I62"/>
          <cell r="K62"/>
        </row>
        <row r="63">
          <cell r="C63"/>
          <cell r="E63"/>
          <cell r="G63"/>
          <cell r="I63"/>
          <cell r="K63"/>
        </row>
        <row r="64">
          <cell r="C64"/>
          <cell r="E64"/>
          <cell r="G64"/>
          <cell r="I64"/>
          <cell r="K64"/>
        </row>
        <row r="65">
          <cell r="C65"/>
          <cell r="E65"/>
          <cell r="G65"/>
          <cell r="I65"/>
          <cell r="K65"/>
        </row>
        <row r="66">
          <cell r="C66"/>
          <cell r="E66"/>
          <cell r="G66"/>
          <cell r="I66"/>
          <cell r="K66"/>
        </row>
        <row r="67">
          <cell r="B67">
            <v>0</v>
          </cell>
          <cell r="C67" t="str">
            <v>Status</v>
          </cell>
          <cell r="D67">
            <v>0</v>
          </cell>
          <cell r="E67" t="str">
            <v>Status</v>
          </cell>
          <cell r="F67">
            <v>0</v>
          </cell>
          <cell r="G67" t="str">
            <v>Status</v>
          </cell>
          <cell r="H67">
            <v>0</v>
          </cell>
          <cell r="I67" t="str">
            <v>Status</v>
          </cell>
          <cell r="J67">
            <v>0</v>
          </cell>
          <cell r="K67" t="str">
            <v>Status</v>
          </cell>
        </row>
        <row r="68">
          <cell r="C68"/>
          <cell r="E68"/>
          <cell r="G68"/>
          <cell r="I68"/>
          <cell r="K68"/>
        </row>
        <row r="69">
          <cell r="C69"/>
          <cell r="E69"/>
          <cell r="G69"/>
          <cell r="I69"/>
          <cell r="K69"/>
        </row>
        <row r="70">
          <cell r="C70"/>
          <cell r="E70"/>
          <cell r="G70"/>
          <cell r="I70"/>
          <cell r="K70"/>
        </row>
        <row r="71">
          <cell r="C71"/>
          <cell r="E71"/>
          <cell r="G71"/>
          <cell r="I71"/>
          <cell r="K71"/>
        </row>
        <row r="72">
          <cell r="C72"/>
          <cell r="E72"/>
          <cell r="G72"/>
          <cell r="I72"/>
          <cell r="K72"/>
        </row>
        <row r="73">
          <cell r="C73"/>
          <cell r="E73"/>
          <cell r="G73"/>
          <cell r="I73"/>
          <cell r="K73"/>
        </row>
        <row r="74">
          <cell r="C74"/>
          <cell r="E74"/>
          <cell r="G74"/>
          <cell r="I74"/>
          <cell r="K74"/>
        </row>
        <row r="75">
          <cell r="B75">
            <v>0</v>
          </cell>
          <cell r="C75" t="str">
            <v>Status</v>
          </cell>
          <cell r="D75">
            <v>0</v>
          </cell>
          <cell r="E75" t="str">
            <v>Status</v>
          </cell>
          <cell r="F75">
            <v>0</v>
          </cell>
          <cell r="G75" t="str">
            <v>Status</v>
          </cell>
          <cell r="H75">
            <v>0</v>
          </cell>
          <cell r="I75" t="str">
            <v>Status</v>
          </cell>
          <cell r="J75">
            <v>0</v>
          </cell>
          <cell r="K75" t="str">
            <v>Status</v>
          </cell>
        </row>
        <row r="76">
          <cell r="C76"/>
          <cell r="E76"/>
          <cell r="G76"/>
          <cell r="I76"/>
          <cell r="K76"/>
        </row>
        <row r="77">
          <cell r="C77"/>
          <cell r="E77"/>
          <cell r="G77"/>
          <cell r="I77"/>
          <cell r="K77"/>
        </row>
        <row r="78">
          <cell r="C78"/>
          <cell r="E78"/>
          <cell r="G78"/>
          <cell r="I78"/>
          <cell r="K78"/>
        </row>
        <row r="79">
          <cell r="C79"/>
          <cell r="E79"/>
          <cell r="G79"/>
          <cell r="I79"/>
          <cell r="K79"/>
        </row>
        <row r="80">
          <cell r="C80"/>
          <cell r="E80"/>
          <cell r="G80"/>
          <cell r="I80"/>
          <cell r="K80"/>
        </row>
        <row r="81">
          <cell r="C81"/>
          <cell r="E81"/>
          <cell r="G81"/>
          <cell r="I81"/>
          <cell r="K81"/>
        </row>
        <row r="82">
          <cell r="C82"/>
          <cell r="E82"/>
          <cell r="G82"/>
          <cell r="I82"/>
          <cell r="K82"/>
        </row>
        <row r="83">
          <cell r="B83">
            <v>0</v>
          </cell>
          <cell r="C83" t="str">
            <v>Status</v>
          </cell>
          <cell r="D83">
            <v>0</v>
          </cell>
          <cell r="E83" t="str">
            <v>Status</v>
          </cell>
          <cell r="F83">
            <v>0</v>
          </cell>
          <cell r="G83" t="str">
            <v>Status</v>
          </cell>
          <cell r="H83">
            <v>0</v>
          </cell>
          <cell r="I83" t="str">
            <v>Status</v>
          </cell>
          <cell r="J83">
            <v>0</v>
          </cell>
          <cell r="K83" t="str">
            <v>Status</v>
          </cell>
        </row>
        <row r="84">
          <cell r="C84"/>
          <cell r="E84"/>
          <cell r="G84"/>
          <cell r="I84"/>
          <cell r="K84"/>
        </row>
        <row r="85">
          <cell r="C85"/>
          <cell r="E85"/>
          <cell r="G85"/>
          <cell r="I85"/>
          <cell r="K85"/>
        </row>
        <row r="86">
          <cell r="C86"/>
          <cell r="E86"/>
          <cell r="G86"/>
          <cell r="I86"/>
          <cell r="K86"/>
        </row>
        <row r="87">
          <cell r="C87"/>
          <cell r="E87"/>
          <cell r="G87"/>
          <cell r="I87"/>
          <cell r="K87"/>
        </row>
        <row r="88">
          <cell r="C88"/>
          <cell r="E88"/>
          <cell r="G88"/>
          <cell r="I88"/>
          <cell r="K88"/>
        </row>
        <row r="89">
          <cell r="C89"/>
          <cell r="E89"/>
          <cell r="G89"/>
          <cell r="I89"/>
          <cell r="K89"/>
        </row>
        <row r="90">
          <cell r="C90"/>
          <cell r="E90"/>
          <cell r="G90"/>
          <cell r="I90"/>
          <cell r="K90"/>
        </row>
        <row r="91">
          <cell r="B91">
            <v>0</v>
          </cell>
          <cell r="C91" t="str">
            <v>Status</v>
          </cell>
          <cell r="D91">
            <v>0</v>
          </cell>
          <cell r="E91" t="str">
            <v>Status</v>
          </cell>
          <cell r="F91">
            <v>0</v>
          </cell>
          <cell r="G91" t="str">
            <v>Status</v>
          </cell>
          <cell r="H91">
            <v>0</v>
          </cell>
          <cell r="I91" t="str">
            <v>Status</v>
          </cell>
          <cell r="J91">
            <v>0</v>
          </cell>
          <cell r="K91" t="str">
            <v>Status</v>
          </cell>
        </row>
        <row r="92">
          <cell r="C92"/>
          <cell r="E92"/>
          <cell r="G92"/>
          <cell r="I92"/>
          <cell r="K92"/>
        </row>
        <row r="93">
          <cell r="C93"/>
          <cell r="E93"/>
          <cell r="G93"/>
          <cell r="I93"/>
          <cell r="K93"/>
        </row>
        <row r="94">
          <cell r="C94"/>
          <cell r="E94"/>
          <cell r="G94"/>
          <cell r="I94"/>
          <cell r="K94"/>
        </row>
        <row r="95">
          <cell r="C95"/>
          <cell r="E95"/>
          <cell r="G95"/>
          <cell r="I95"/>
          <cell r="K95"/>
        </row>
        <row r="96">
          <cell r="C96"/>
          <cell r="E96"/>
          <cell r="G96"/>
          <cell r="I96"/>
          <cell r="K96"/>
        </row>
        <row r="97">
          <cell r="C97"/>
          <cell r="E97"/>
          <cell r="G97"/>
          <cell r="I97"/>
          <cell r="K97"/>
        </row>
        <row r="98">
          <cell r="C98"/>
          <cell r="E98"/>
          <cell r="G98"/>
          <cell r="I98"/>
          <cell r="K98"/>
        </row>
        <row r="99">
          <cell r="B99">
            <v>0</v>
          </cell>
          <cell r="C99" t="str">
            <v>Status</v>
          </cell>
          <cell r="D99">
            <v>0</v>
          </cell>
          <cell r="E99" t="str">
            <v>Status</v>
          </cell>
          <cell r="F99">
            <v>0</v>
          </cell>
          <cell r="G99" t="str">
            <v>Status</v>
          </cell>
          <cell r="H99">
            <v>0</v>
          </cell>
          <cell r="I99" t="str">
            <v>Status</v>
          </cell>
          <cell r="J99">
            <v>0</v>
          </cell>
          <cell r="K99" t="str">
            <v>Status</v>
          </cell>
        </row>
        <row r="100">
          <cell r="C100"/>
          <cell r="E100"/>
          <cell r="G100"/>
          <cell r="I100"/>
          <cell r="K100"/>
        </row>
        <row r="101">
          <cell r="C101"/>
          <cell r="E101"/>
          <cell r="G101"/>
          <cell r="I101"/>
          <cell r="K101"/>
        </row>
        <row r="102">
          <cell r="C102"/>
          <cell r="E102"/>
          <cell r="G102"/>
          <cell r="I102"/>
          <cell r="K102"/>
        </row>
        <row r="103">
          <cell r="C103"/>
          <cell r="E103"/>
          <cell r="G103"/>
          <cell r="I103"/>
          <cell r="K103"/>
        </row>
        <row r="104">
          <cell r="C104"/>
          <cell r="E104"/>
          <cell r="G104"/>
          <cell r="I104"/>
          <cell r="K104"/>
        </row>
        <row r="105">
          <cell r="C105"/>
          <cell r="E105"/>
          <cell r="G105"/>
          <cell r="I105"/>
          <cell r="K105"/>
        </row>
        <row r="106">
          <cell r="C106"/>
          <cell r="E106"/>
          <cell r="G106"/>
          <cell r="I106"/>
          <cell r="K106"/>
        </row>
        <row r="107">
          <cell r="B107">
            <v>0</v>
          </cell>
          <cell r="C107" t="str">
            <v>Status</v>
          </cell>
          <cell r="D107">
            <v>0</v>
          </cell>
          <cell r="E107" t="str">
            <v>Status</v>
          </cell>
          <cell r="F107">
            <v>0</v>
          </cell>
          <cell r="G107" t="str">
            <v>Status</v>
          </cell>
          <cell r="H107">
            <v>0</v>
          </cell>
          <cell r="I107" t="str">
            <v>Status</v>
          </cell>
          <cell r="J107">
            <v>0</v>
          </cell>
          <cell r="K107" t="str">
            <v>Status</v>
          </cell>
        </row>
        <row r="108">
          <cell r="C108"/>
          <cell r="E108"/>
          <cell r="G108"/>
          <cell r="I108"/>
          <cell r="K108"/>
        </row>
        <row r="109">
          <cell r="C109"/>
          <cell r="E109"/>
          <cell r="G109"/>
          <cell r="I109"/>
          <cell r="K109"/>
        </row>
        <row r="110">
          <cell r="C110"/>
          <cell r="E110"/>
          <cell r="G110"/>
          <cell r="I110"/>
          <cell r="K110"/>
        </row>
        <row r="111">
          <cell r="C111"/>
          <cell r="E111"/>
          <cell r="G111"/>
          <cell r="I111"/>
          <cell r="K111"/>
        </row>
        <row r="112">
          <cell r="C112"/>
          <cell r="E112"/>
          <cell r="G112"/>
          <cell r="I112"/>
          <cell r="K112"/>
        </row>
        <row r="113">
          <cell r="C113"/>
          <cell r="E113"/>
          <cell r="G113"/>
          <cell r="I113"/>
          <cell r="K113"/>
        </row>
        <row r="114">
          <cell r="C114"/>
          <cell r="E114"/>
          <cell r="G114"/>
          <cell r="I114"/>
          <cell r="K114"/>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929.527244444442" createdVersion="8" refreshedVersion="8" minRefreshableVersion="3" recordCount="51" xr:uid="{F9EF60DF-644D-4532-A606-350B12B87778}">
  <cacheSource type="worksheet">
    <worksheetSource ref="B2:Q53" sheet="AI (Raw data)"/>
  </cacheSource>
  <cacheFields count="16">
    <cacheField name="Layer" numFmtId="0">
      <sharedItems containsBlank="1" count="7">
        <s v="Layer 0"/>
        <s v="Layer 1"/>
        <s v="Layer 2"/>
        <s v="Layer 3"/>
        <s v="Layer 4"/>
        <s v="Layer 5"/>
        <m/>
      </sharedItems>
    </cacheField>
    <cacheField name="Metric" numFmtId="0">
      <sharedItems containsBlank="1"/>
    </cacheField>
    <cacheField name="Bryte Activation" numFmtId="0">
      <sharedItems containsBlank="1" count="6">
        <s v="N"/>
        <s v="N/A"/>
        <s v="Y"/>
        <s v="Partial"/>
        <s v="TBD"/>
        <m/>
      </sharedItems>
    </cacheField>
    <cacheField name="Intent Classifier And Entity Recognition" numFmtId="0">
      <sharedItems containsBlank="1"/>
    </cacheField>
    <cacheField name="Adversarial Check" numFmtId="0">
      <sharedItems containsBlank="1"/>
    </cacheField>
    <cacheField name="Intent Training Metrics " numFmtId="0">
      <sharedItems containsBlank="1"/>
    </cacheField>
    <cacheField name="Skills" numFmtId="0">
      <sharedItems containsBlank="1" count="4">
        <s v="N"/>
        <s v="Y"/>
        <s v="?"/>
        <m/>
      </sharedItems>
    </cacheField>
    <cacheField name="DSAAS" numFmtId="0">
      <sharedItems containsBlank="1" count="5">
        <s v="N"/>
        <s v="Y"/>
        <s v="N/A"/>
        <m/>
        <s v="?" u="1"/>
      </sharedItems>
    </cacheField>
    <cacheField name="RAG" numFmtId="0">
      <sharedItems containsBlank="1" count="6">
        <s v="N"/>
        <s v="N/A"/>
        <s v="?"/>
        <s v="Y"/>
        <m/>
        <s v="Partial" u="1"/>
      </sharedItems>
    </cacheField>
    <cacheField name="Agent Framework" numFmtId="0">
      <sharedItems containsBlank="1" count="6">
        <s v="N"/>
        <s v="Y"/>
        <s v="?"/>
        <s v="N/A"/>
        <m/>
        <s v="Partial" u="1"/>
      </sharedItems>
    </cacheField>
    <cacheField name="URIKA" numFmtId="0">
      <sharedItems containsBlank="1" count="5">
        <s v="Y"/>
        <s v="N/A"/>
        <s v="N"/>
        <m/>
        <s v="TBD" u="1"/>
      </sharedItems>
    </cacheField>
    <cacheField name="Mission Control" numFmtId="0">
      <sharedItems containsBlank="1" count="6">
        <s v="Y"/>
        <s v="N/A"/>
        <s v="N"/>
        <s v="Partial"/>
        <m/>
        <s v="TBD" u="1"/>
      </sharedItems>
    </cacheField>
    <cacheField name="UKG GPT" numFmtId="0">
      <sharedItems containsBlank="1" count="5">
        <s v="Y"/>
        <s v="N/A"/>
        <s v="N"/>
        <s v="TBD"/>
        <m/>
      </sharedItems>
    </cacheField>
    <cacheField name="GPTW/DEIB" numFmtId="0">
      <sharedItems containsBlank="1" count="3">
        <s v="TBD"/>
        <s v="Y"/>
        <m/>
      </sharedItems>
    </cacheField>
    <cacheField name="Tech Platform" numFmtId="0">
      <sharedItems containsBlank="1" count="5">
        <s v="Y"/>
        <s v="Partial"/>
        <s v="N"/>
        <s v="?"/>
        <m/>
      </sharedItems>
    </cacheField>
    <cacheField name="PGE" numFmtId="0">
      <sharedItems containsBlank="1" count="2">
        <s v="TBD"/>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s v="Load Balancer Health Checks"/>
    <x v="0"/>
    <s v="N"/>
    <s v="N"/>
    <s v="N"/>
    <x v="0"/>
    <x v="0"/>
    <x v="0"/>
    <x v="0"/>
    <x v="0"/>
    <x v="0"/>
    <x v="0"/>
    <x v="0"/>
    <x v="0"/>
    <x v="0"/>
  </r>
  <r>
    <x v="0"/>
    <s v="Gateway Timeout (HTTP 504) Errors"/>
    <x v="1"/>
    <s v="N/A"/>
    <s v="N/A"/>
    <s v="N/A"/>
    <x v="1"/>
    <x v="0"/>
    <x v="1"/>
    <x v="1"/>
    <x v="0"/>
    <x v="0"/>
    <x v="0"/>
    <x v="0"/>
    <x v="0"/>
    <x v="0"/>
  </r>
  <r>
    <x v="0"/>
    <s v="Synthetic: Service Availability"/>
    <x v="0"/>
    <s v="N"/>
    <s v="N"/>
    <s v="N"/>
    <x v="2"/>
    <x v="0"/>
    <x v="2"/>
    <x v="2"/>
    <x v="1"/>
    <x v="0"/>
    <x v="1"/>
    <x v="0"/>
    <x v="1"/>
    <x v="0"/>
  </r>
  <r>
    <x v="0"/>
    <s v="Synthetic: Critical Business Transactions"/>
    <x v="0"/>
    <s v="N"/>
    <s v="N"/>
    <s v="N"/>
    <x v="2"/>
    <x v="0"/>
    <x v="0"/>
    <x v="0"/>
    <x v="1"/>
    <x v="0"/>
    <x v="1"/>
    <x v="0"/>
    <x v="1"/>
    <x v="0"/>
  </r>
  <r>
    <x v="0"/>
    <s v="TLS Encryption Health Checks"/>
    <x v="0"/>
    <s v="N"/>
    <s v="N"/>
    <s v="N"/>
    <x v="2"/>
    <x v="0"/>
    <x v="2"/>
    <x v="2"/>
    <x v="0"/>
    <x v="0"/>
    <x v="0"/>
    <x v="0"/>
    <x v="0"/>
    <x v="0"/>
  </r>
  <r>
    <x v="0"/>
    <s v="TLS Certificates Expiry Checks"/>
    <x v="0"/>
    <s v="N"/>
    <s v="N"/>
    <s v="N"/>
    <x v="2"/>
    <x v="0"/>
    <x v="2"/>
    <x v="2"/>
    <x v="0"/>
    <x v="0"/>
    <x v="0"/>
    <x v="0"/>
    <x v="0"/>
    <x v="0"/>
  </r>
  <r>
    <x v="1"/>
    <s v="OS CPU Utilization"/>
    <x v="2"/>
    <s v="Y"/>
    <s v="Y"/>
    <s v="Y"/>
    <x v="1"/>
    <x v="1"/>
    <x v="3"/>
    <x v="1"/>
    <x v="0"/>
    <x v="1"/>
    <x v="0"/>
    <x v="1"/>
    <x v="0"/>
    <x v="0"/>
  </r>
  <r>
    <x v="1"/>
    <s v="OS Memory Utilization"/>
    <x v="2"/>
    <s v="Y"/>
    <s v="Y"/>
    <s v="Y"/>
    <x v="1"/>
    <x v="1"/>
    <x v="3"/>
    <x v="1"/>
    <x v="0"/>
    <x v="1"/>
    <x v="0"/>
    <x v="1"/>
    <x v="0"/>
    <x v="0"/>
  </r>
  <r>
    <x v="1"/>
    <s v="OS Disk I/O"/>
    <x v="2"/>
    <s v="Y"/>
    <s v="Y"/>
    <s v="Y"/>
    <x v="1"/>
    <x v="1"/>
    <x v="1"/>
    <x v="3"/>
    <x v="0"/>
    <x v="1"/>
    <x v="0"/>
    <x v="1"/>
    <x v="0"/>
    <x v="0"/>
  </r>
  <r>
    <x v="1"/>
    <s v="OS Disk Capacity"/>
    <x v="3"/>
    <s v="Y"/>
    <s v="Y"/>
    <s v="Y"/>
    <x v="1"/>
    <x v="0"/>
    <x v="1"/>
    <x v="3"/>
    <x v="0"/>
    <x v="1"/>
    <x v="0"/>
    <x v="1"/>
    <x v="0"/>
    <x v="0"/>
  </r>
  <r>
    <x v="1"/>
    <s v="OS Network I/O"/>
    <x v="3"/>
    <s v="Partial"/>
    <s v="Partial"/>
    <s v="Partial"/>
    <x v="1"/>
    <x v="1"/>
    <x v="3"/>
    <x v="1"/>
    <x v="0"/>
    <x v="1"/>
    <x v="0"/>
    <x v="0"/>
    <x v="0"/>
    <x v="0"/>
  </r>
  <r>
    <x v="1"/>
    <s v="OS Availability Checks"/>
    <x v="3"/>
    <s v="Partial"/>
    <s v="Partial"/>
    <s v="Partial"/>
    <x v="1"/>
    <x v="0"/>
    <x v="1"/>
    <x v="3"/>
    <x v="0"/>
    <x v="1"/>
    <x v="0"/>
    <x v="0"/>
    <x v="0"/>
    <x v="0"/>
  </r>
  <r>
    <x v="1"/>
    <s v="OS Error Rate"/>
    <x v="3"/>
    <s v="Partial"/>
    <s v="Partial"/>
    <s v="Partial"/>
    <x v="1"/>
    <x v="0"/>
    <x v="1"/>
    <x v="3"/>
    <x v="0"/>
    <x v="1"/>
    <x v="0"/>
    <x v="0"/>
    <x v="0"/>
    <x v="0"/>
  </r>
  <r>
    <x v="2"/>
    <s v="App Process CPU Utilization"/>
    <x v="3"/>
    <s v="Partial"/>
    <s v="Partial"/>
    <s v="Partial"/>
    <x v="1"/>
    <x v="0"/>
    <x v="1"/>
    <x v="3"/>
    <x v="0"/>
    <x v="0"/>
    <x v="0"/>
    <x v="0"/>
    <x v="0"/>
    <x v="0"/>
  </r>
  <r>
    <x v="2"/>
    <s v="App Process Memory Utilization"/>
    <x v="3"/>
    <s v="Partial"/>
    <s v="Partial"/>
    <s v="Partial"/>
    <x v="1"/>
    <x v="0"/>
    <x v="1"/>
    <x v="3"/>
    <x v="0"/>
    <x v="0"/>
    <x v="0"/>
    <x v="0"/>
    <x v="0"/>
    <x v="0"/>
  </r>
  <r>
    <x v="2"/>
    <s v="App Process Error Rate"/>
    <x v="3"/>
    <s v="Partial"/>
    <s v="Partial"/>
    <s v="Partial"/>
    <x v="1"/>
    <x v="0"/>
    <x v="3"/>
    <x v="1"/>
    <x v="0"/>
    <x v="0"/>
    <x v="0"/>
    <x v="0"/>
    <x v="0"/>
    <x v="0"/>
  </r>
  <r>
    <x v="2"/>
    <s v="App Process Dependency Health Checks"/>
    <x v="3"/>
    <s v="Partial"/>
    <s v="Partial"/>
    <s v="Partial"/>
    <x v="1"/>
    <x v="0"/>
    <x v="1"/>
    <x v="3"/>
    <x v="0"/>
    <x v="0"/>
    <x v="0"/>
    <x v="0"/>
    <x v="0"/>
    <x v="0"/>
  </r>
  <r>
    <x v="2"/>
    <s v="App Thread Pool Monitoring"/>
    <x v="3"/>
    <s v="Partial"/>
    <s v="Partial"/>
    <s v="Partial"/>
    <x v="1"/>
    <x v="0"/>
    <x v="1"/>
    <x v="3"/>
    <x v="0"/>
    <x v="0"/>
    <x v="0"/>
    <x v="0"/>
    <x v="1"/>
    <x v="0"/>
  </r>
  <r>
    <x v="2"/>
    <s v="App Active Connections Monitoring"/>
    <x v="3"/>
    <s v="Partial"/>
    <s v="Partial"/>
    <s v="Partial"/>
    <x v="1"/>
    <x v="0"/>
    <x v="0"/>
    <x v="0"/>
    <x v="0"/>
    <x v="0"/>
    <x v="0"/>
    <x v="0"/>
    <x v="1"/>
    <x v="0"/>
  </r>
  <r>
    <x v="2"/>
    <s v="App GC Metrics Monitoring"/>
    <x v="3"/>
    <s v="Partial"/>
    <s v="Partial"/>
    <s v="Partial"/>
    <x v="1"/>
    <x v="0"/>
    <x v="0"/>
    <x v="0"/>
    <x v="0"/>
    <x v="0"/>
    <x v="0"/>
    <x v="0"/>
    <x v="1"/>
    <x v="0"/>
  </r>
  <r>
    <x v="3"/>
    <s v="5xx Errors Trend"/>
    <x v="3"/>
    <s v="Partial"/>
    <s v="Partial"/>
    <s v="Partial"/>
    <x v="1"/>
    <x v="1"/>
    <x v="3"/>
    <x v="1"/>
    <x v="0"/>
    <x v="0"/>
    <x v="0"/>
    <x v="1"/>
    <x v="0"/>
    <x v="0"/>
  </r>
  <r>
    <x v="3"/>
    <s v="4xx Errors Trend"/>
    <x v="3"/>
    <s v="Partial"/>
    <s v="Partial"/>
    <s v="Partial"/>
    <x v="1"/>
    <x v="1"/>
    <x v="3"/>
    <x v="1"/>
    <x v="0"/>
    <x v="0"/>
    <x v="0"/>
    <x v="1"/>
    <x v="0"/>
    <x v="0"/>
  </r>
  <r>
    <x v="3"/>
    <s v="HTTP Response Latency"/>
    <x v="3"/>
    <s v="N"/>
    <s v="N"/>
    <s v="N"/>
    <x v="1"/>
    <x v="1"/>
    <x v="3"/>
    <x v="1"/>
    <x v="2"/>
    <x v="0"/>
    <x v="0"/>
    <x v="0"/>
    <x v="0"/>
    <x v="0"/>
  </r>
  <r>
    <x v="3"/>
    <s v="App Dependency Health Checks"/>
    <x v="3"/>
    <s v="Partial"/>
    <s v="Partial"/>
    <s v="Partial"/>
    <x v="1"/>
    <x v="1"/>
    <x v="0"/>
    <x v="0"/>
    <x v="2"/>
    <x v="0"/>
    <x v="2"/>
    <x v="0"/>
    <x v="1"/>
    <x v="0"/>
  </r>
  <r>
    <x v="3"/>
    <s v="App (Custom) Errors Monitoring"/>
    <x v="3"/>
    <s v="Partial"/>
    <s v="Partial"/>
    <s v="Partial"/>
    <x v="1"/>
    <x v="1"/>
    <x v="3"/>
    <x v="1"/>
    <x v="2"/>
    <x v="0"/>
    <x v="2"/>
    <x v="0"/>
    <x v="1"/>
    <x v="0"/>
  </r>
  <r>
    <x v="3"/>
    <s v="App Error Rate"/>
    <x v="4"/>
    <s v="Partial"/>
    <s v="Partial"/>
    <s v="Partial"/>
    <x v="1"/>
    <x v="1"/>
    <x v="3"/>
    <x v="1"/>
    <x v="2"/>
    <x v="0"/>
    <x v="0"/>
    <x v="0"/>
    <x v="0"/>
    <x v="0"/>
  </r>
  <r>
    <x v="3"/>
    <s v="Mission Control: Service View Onboarded"/>
    <x v="4"/>
    <s v="N"/>
    <s v="N"/>
    <s v="N"/>
    <x v="1"/>
    <x v="1"/>
    <x v="3"/>
    <x v="1"/>
    <x v="2"/>
    <x v="1"/>
    <x v="2"/>
    <x v="0"/>
    <x v="2"/>
    <x v="0"/>
  </r>
  <r>
    <x v="3"/>
    <s v="Mission Control: Critical Health Metrics"/>
    <x v="4"/>
    <s v="N"/>
    <s v="N"/>
    <s v="N"/>
    <x v="1"/>
    <x v="1"/>
    <x v="3"/>
    <x v="1"/>
    <x v="2"/>
    <x v="1"/>
    <x v="2"/>
    <x v="0"/>
    <x v="2"/>
    <x v="0"/>
  </r>
  <r>
    <x v="3"/>
    <s v="Mission Control: Dependencies Health Embedded"/>
    <x v="4"/>
    <s v="N"/>
    <s v="N"/>
    <s v="N"/>
    <x v="1"/>
    <x v="1"/>
    <x v="3"/>
    <x v="1"/>
    <x v="2"/>
    <x v="1"/>
    <x v="2"/>
    <x v="0"/>
    <x v="2"/>
    <x v="0"/>
  </r>
  <r>
    <x v="3"/>
    <s v="Mission Control: Cloud Infra Health Embedded"/>
    <x v="4"/>
    <s v="N"/>
    <s v="N"/>
    <s v="N"/>
    <x v="1"/>
    <x v="1"/>
    <x v="3"/>
    <x v="1"/>
    <x v="2"/>
    <x v="1"/>
    <x v="2"/>
    <x v="0"/>
    <x v="2"/>
    <x v="0"/>
  </r>
  <r>
    <x v="4"/>
    <s v="Actual Uptime"/>
    <x v="4"/>
    <s v="Partial"/>
    <s v="Partial"/>
    <s v="Partial"/>
    <x v="1"/>
    <x v="1"/>
    <x v="0"/>
    <x v="0"/>
    <x v="2"/>
    <x v="0"/>
    <x v="3"/>
    <x v="0"/>
    <x v="0"/>
    <x v="0"/>
  </r>
  <r>
    <x v="4"/>
    <s v="Success Rate"/>
    <x v="4"/>
    <s v="Partial"/>
    <s v="Partial"/>
    <s v="Partial"/>
    <x v="1"/>
    <x v="1"/>
    <x v="0"/>
    <x v="0"/>
    <x v="2"/>
    <x v="0"/>
    <x v="3"/>
    <x v="0"/>
    <x v="0"/>
    <x v="0"/>
  </r>
  <r>
    <x v="4"/>
    <s v="Integration Metrics"/>
    <x v="4"/>
    <s v="Partial"/>
    <s v="Partial"/>
    <s v="Partial"/>
    <x v="2"/>
    <x v="0"/>
    <x v="3"/>
    <x v="1"/>
    <x v="2"/>
    <x v="2"/>
    <x v="3"/>
    <x v="0"/>
    <x v="1"/>
    <x v="0"/>
  </r>
  <r>
    <x v="4"/>
    <s v="Usage Metrics"/>
    <x v="4"/>
    <s v="TBD"/>
    <s v="TBD"/>
    <s v="TBD"/>
    <x v="1"/>
    <x v="1"/>
    <x v="3"/>
    <x v="1"/>
    <x v="2"/>
    <x v="0"/>
    <x v="3"/>
    <x v="0"/>
    <x v="0"/>
    <x v="0"/>
  </r>
  <r>
    <x v="4"/>
    <s v="Throughput Metrics"/>
    <x v="4"/>
    <s v="TBD"/>
    <s v="TBD"/>
    <s v="TBD"/>
    <x v="1"/>
    <x v="1"/>
    <x v="3"/>
    <x v="1"/>
    <x v="2"/>
    <x v="0"/>
    <x v="3"/>
    <x v="0"/>
    <x v="0"/>
    <x v="0"/>
  </r>
  <r>
    <x v="4"/>
    <s v="Latency Metrics"/>
    <x v="4"/>
    <s v="N"/>
    <s v="N"/>
    <s v="N"/>
    <x v="1"/>
    <x v="1"/>
    <x v="3"/>
    <x v="1"/>
    <x v="2"/>
    <x v="2"/>
    <x v="3"/>
    <x v="0"/>
    <x v="0"/>
    <x v="0"/>
  </r>
  <r>
    <x v="4"/>
    <s v="Critical Business Metrics"/>
    <x v="4"/>
    <s v="N"/>
    <s v="N"/>
    <s v="N"/>
    <x v="2"/>
    <x v="0"/>
    <x v="3"/>
    <x v="0"/>
    <x v="2"/>
    <x v="0"/>
    <x v="3"/>
    <x v="0"/>
    <x v="3"/>
    <x v="0"/>
  </r>
  <r>
    <x v="4"/>
    <s v="Tenant Fairness Checks"/>
    <x v="4"/>
    <s v="Partial"/>
    <s v="Partial"/>
    <s v="Partial"/>
    <x v="2"/>
    <x v="2"/>
    <x v="0"/>
    <x v="0"/>
    <x v="2"/>
    <x v="1"/>
    <x v="3"/>
    <x v="0"/>
    <x v="1"/>
    <x v="0"/>
  </r>
  <r>
    <x v="4"/>
    <s v="Tenant: Error Rate"/>
    <x v="4"/>
    <s v="Partial"/>
    <s v="Partial"/>
    <s v="Partial"/>
    <x v="2"/>
    <x v="2"/>
    <x v="0"/>
    <x v="0"/>
    <x v="2"/>
    <x v="1"/>
    <x v="3"/>
    <x v="0"/>
    <x v="1"/>
    <x v="0"/>
  </r>
  <r>
    <x v="4"/>
    <s v="Tenant: Response Latency"/>
    <x v="4"/>
    <s v="Partial"/>
    <s v="Partial"/>
    <s v="Partial"/>
    <x v="2"/>
    <x v="2"/>
    <x v="0"/>
    <x v="0"/>
    <x v="2"/>
    <x v="1"/>
    <x v="3"/>
    <x v="0"/>
    <x v="1"/>
    <x v="0"/>
  </r>
  <r>
    <x v="4"/>
    <s v="Adoption Metrics"/>
    <x v="4"/>
    <s v="Partial"/>
    <s v="Partial"/>
    <s v="Partial"/>
    <x v="2"/>
    <x v="0"/>
    <x v="0"/>
    <x v="0"/>
    <x v="2"/>
    <x v="0"/>
    <x v="3"/>
    <x v="0"/>
    <x v="2"/>
    <x v="0"/>
  </r>
  <r>
    <x v="4"/>
    <s v="Historical Trends"/>
    <x v="4"/>
    <s v="Partial"/>
    <s v="Partial"/>
    <s v="Partial"/>
    <x v="2"/>
    <x v="0"/>
    <x v="3"/>
    <x v="1"/>
    <x v="2"/>
    <x v="3"/>
    <x v="3"/>
    <x v="0"/>
    <x v="3"/>
    <x v="0"/>
  </r>
  <r>
    <x v="4"/>
    <s v="Alerts Configured w/ Actionable SOPs"/>
    <x v="4"/>
    <s v="Y"/>
    <s v="Y"/>
    <s v="Y"/>
    <x v="0"/>
    <x v="0"/>
    <x v="1"/>
    <x v="3"/>
    <x v="2"/>
    <x v="3"/>
    <x v="3"/>
    <x v="0"/>
    <x v="2"/>
    <x v="0"/>
  </r>
  <r>
    <x v="4"/>
    <s v="Alerts Integration w/ PD"/>
    <x v="4"/>
    <s v="Y"/>
    <s v="Y"/>
    <s v="Y"/>
    <x v="1"/>
    <x v="0"/>
    <x v="1"/>
    <x v="3"/>
    <x v="2"/>
    <x v="2"/>
    <x v="3"/>
    <x v="0"/>
    <x v="2"/>
    <x v="0"/>
  </r>
  <r>
    <x v="5"/>
    <s v="MTTA (mins)"/>
    <x v="1"/>
    <s v="N"/>
    <s v="N"/>
    <s v="N"/>
    <x v="0"/>
    <x v="0"/>
    <x v="3"/>
    <x v="1"/>
    <x v="2"/>
    <x v="2"/>
    <x v="3"/>
    <x v="0"/>
    <x v="2"/>
    <x v="0"/>
  </r>
  <r>
    <x v="5"/>
    <s v="MTTM (mins)"/>
    <x v="1"/>
    <s v="N"/>
    <s v="N"/>
    <s v="N"/>
    <x v="0"/>
    <x v="0"/>
    <x v="3"/>
    <x v="1"/>
    <x v="2"/>
    <x v="2"/>
    <x v="3"/>
    <x v="0"/>
    <x v="2"/>
    <x v="0"/>
  </r>
  <r>
    <x v="5"/>
    <s v="False Alarms (count)"/>
    <x v="1"/>
    <s v="N"/>
    <s v="N"/>
    <s v="N"/>
    <x v="0"/>
    <x v="0"/>
    <x v="0"/>
    <x v="0"/>
    <x v="2"/>
    <x v="2"/>
    <x v="3"/>
    <x v="0"/>
    <x v="2"/>
    <x v="0"/>
  </r>
  <r>
    <x v="5"/>
    <s v="Alert Volume (count)"/>
    <x v="1"/>
    <s v="N"/>
    <s v="N"/>
    <s v="N"/>
    <x v="0"/>
    <x v="0"/>
    <x v="3"/>
    <x v="1"/>
    <x v="2"/>
    <x v="2"/>
    <x v="3"/>
    <x v="0"/>
    <x v="2"/>
    <x v="0"/>
  </r>
  <r>
    <x v="5"/>
    <s v="Incident Volume (count)"/>
    <x v="1"/>
    <s v="Y"/>
    <s v="Y"/>
    <s v="Y"/>
    <x v="0"/>
    <x v="0"/>
    <x v="3"/>
    <x v="1"/>
    <x v="2"/>
    <x v="2"/>
    <x v="3"/>
    <x v="0"/>
    <x v="2"/>
    <x v="0"/>
  </r>
  <r>
    <x v="5"/>
    <s v="Change Volume (count)"/>
    <x v="1"/>
    <s v="N"/>
    <s v="N"/>
    <s v="N"/>
    <x v="0"/>
    <x v="0"/>
    <x v="2"/>
    <x v="2"/>
    <x v="2"/>
    <x v="2"/>
    <x v="3"/>
    <x v="0"/>
    <x v="2"/>
    <x v="0"/>
  </r>
  <r>
    <x v="6"/>
    <m/>
    <x v="5"/>
    <m/>
    <m/>
    <m/>
    <x v="3"/>
    <x v="3"/>
    <x v="4"/>
    <x v="4"/>
    <x v="3"/>
    <x v="4"/>
    <x v="4"/>
    <x v="2"/>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510F4E-AE7B-45EB-810F-76EBC117B337}"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colHeaderCaption="Layer">
  <location ref="CF3:CL9" firstHeaderRow="1" firstDataRow="2" firstDataCol="1"/>
  <pivotFields count="16">
    <pivotField axis="axisCol" dataField="1" showAll="0">
      <items count="8">
        <item x="0"/>
        <item x="1"/>
        <item x="2"/>
        <item x="3"/>
        <item x="4"/>
        <item h="1" x="5"/>
        <item h="1" x="6"/>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6">
        <item x="3"/>
        <item x="4"/>
        <item x="0"/>
        <item x="2"/>
        <item x="1"/>
        <item t="default"/>
      </items>
    </pivotField>
    <pivotField showAll="0"/>
    <pivotField showAll="0"/>
    <pivotField showAll="0"/>
  </pivotFields>
  <rowFields count="1">
    <field x="12"/>
  </rowFields>
  <rowItems count="5">
    <i>
      <x/>
    </i>
    <i>
      <x v="2"/>
    </i>
    <i>
      <x v="3"/>
    </i>
    <i>
      <x v="4"/>
    </i>
    <i t="grand">
      <x/>
    </i>
  </rowItems>
  <colFields count="1">
    <field x="0"/>
  </colFields>
  <colItems count="6">
    <i>
      <x/>
    </i>
    <i>
      <x v="1"/>
    </i>
    <i>
      <x v="2"/>
    </i>
    <i>
      <x v="3"/>
    </i>
    <i>
      <x v="4"/>
    </i>
    <i t="grand">
      <x/>
    </i>
  </colItems>
  <dataFields count="1">
    <dataField name="Maturity" fld="0" subtotal="count" baseField="0" baseItem="0"/>
  </dataFields>
  <formats count="1">
    <format dxfId="8">
      <pivotArea type="topRight" dataOnly="0" labelOnly="1" outline="0"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1BFE10F-DCDC-44B3-BCC0-2CE7575503AE}"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colHeaderCaption="Layer">
  <location ref="BH3:BN9" firstHeaderRow="1" firstDataRow="2" firstDataCol="1"/>
  <pivotFields count="16">
    <pivotField axis="axisCol" dataField="1" showAll="0">
      <items count="8">
        <item x="0"/>
        <item x="1"/>
        <item x="2"/>
        <item x="3"/>
        <item x="4"/>
        <item h="1" x="5"/>
        <item h="1" x="6"/>
        <item t="default"/>
      </items>
    </pivotField>
    <pivotField showAll="0"/>
    <pivotField showAll="0"/>
    <pivotField showAll="0"/>
    <pivotField showAll="0"/>
    <pivotField showAll="0"/>
    <pivotField showAll="0"/>
    <pivotField showAll="0"/>
    <pivotField showAll="0"/>
    <pivotField axis="axisRow" showAll="0">
      <items count="7">
        <item x="2"/>
        <item x="0"/>
        <item m="1" x="5"/>
        <item x="1"/>
        <item x="4"/>
        <item x="3"/>
        <item t="default"/>
      </items>
    </pivotField>
    <pivotField showAll="0"/>
    <pivotField showAll="0"/>
    <pivotField showAll="0"/>
    <pivotField showAll="0"/>
    <pivotField showAll="0"/>
    <pivotField showAll="0"/>
  </pivotFields>
  <rowFields count="1">
    <field x="9"/>
  </rowFields>
  <rowItems count="5">
    <i>
      <x/>
    </i>
    <i>
      <x v="1"/>
    </i>
    <i>
      <x v="3"/>
    </i>
    <i>
      <x v="5"/>
    </i>
    <i t="grand">
      <x/>
    </i>
  </rowItems>
  <colFields count="1">
    <field x="0"/>
  </colFields>
  <colItems count="6">
    <i>
      <x/>
    </i>
    <i>
      <x v="1"/>
    </i>
    <i>
      <x v="2"/>
    </i>
    <i>
      <x v="3"/>
    </i>
    <i>
      <x v="4"/>
    </i>
    <i t="grand">
      <x/>
    </i>
  </colItems>
  <dataFields count="1">
    <dataField name="Maturity" fld="0" subtotal="count" baseField="0" baseItem="0"/>
  </dataFields>
  <formats count="1">
    <format dxfId="9">
      <pivotArea type="topRight" dataOnly="0" labelOnly="1" outline="0"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776453-2714-47EB-8391-073B879F84FE}"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colHeaderCaption="Layer">
  <location ref="AZ3:BF9" firstHeaderRow="1" firstDataRow="2" firstDataCol="1"/>
  <pivotFields count="16">
    <pivotField axis="axisCol" dataField="1" showAll="0">
      <items count="8">
        <item x="0"/>
        <item x="1"/>
        <item x="2"/>
        <item x="3"/>
        <item x="4"/>
        <item h="1" x="5"/>
        <item h="1" x="6"/>
        <item t="default"/>
      </items>
    </pivotField>
    <pivotField showAll="0"/>
    <pivotField showAll="0"/>
    <pivotField showAll="0"/>
    <pivotField showAll="0"/>
    <pivotField showAll="0"/>
    <pivotField showAll="0"/>
    <pivotField showAll="0"/>
    <pivotField axis="axisRow" showAll="0">
      <items count="7">
        <item x="2"/>
        <item x="0"/>
        <item m="1" x="5"/>
        <item x="3"/>
        <item x="1"/>
        <item x="4"/>
        <item t="default"/>
      </items>
    </pivotField>
    <pivotField showAll="0"/>
    <pivotField showAll="0"/>
    <pivotField showAll="0"/>
    <pivotField showAll="0"/>
    <pivotField showAll="0"/>
    <pivotField showAll="0"/>
    <pivotField showAll="0"/>
  </pivotFields>
  <rowFields count="1">
    <field x="8"/>
  </rowFields>
  <rowItems count="5">
    <i>
      <x/>
    </i>
    <i>
      <x v="1"/>
    </i>
    <i>
      <x v="3"/>
    </i>
    <i>
      <x v="4"/>
    </i>
    <i t="grand">
      <x/>
    </i>
  </rowItems>
  <colFields count="1">
    <field x="0"/>
  </colFields>
  <colItems count="6">
    <i>
      <x/>
    </i>
    <i>
      <x v="1"/>
    </i>
    <i>
      <x v="2"/>
    </i>
    <i>
      <x v="3"/>
    </i>
    <i>
      <x v="4"/>
    </i>
    <i t="grand">
      <x/>
    </i>
  </colItems>
  <dataFields count="1">
    <dataField name="Maturity" fld="0" subtotal="count" baseField="0" baseItem="0"/>
  </dataFields>
  <formats count="1">
    <format dxfId="10">
      <pivotArea type="topRight" dataOnly="0" labelOnly="1" outline="0"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2F0E77D-C989-47EF-B8DE-E94C0912D866}" name="PivotTable1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colHeaderCaption="Layer">
  <location ref="DD3:DJ6" firstHeaderRow="1" firstDataRow="2" firstDataCol="1"/>
  <pivotFields count="16">
    <pivotField axis="axisCol" dataField="1" showAll="0">
      <items count="8">
        <item x="0"/>
        <item x="1"/>
        <item x="2"/>
        <item x="3"/>
        <item x="4"/>
        <item h="1" x="5"/>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x="0"/>
        <item x="1"/>
        <item t="default"/>
      </items>
    </pivotField>
  </pivotFields>
  <rowFields count="1">
    <field x="15"/>
  </rowFields>
  <rowItems count="2">
    <i>
      <x/>
    </i>
    <i t="grand">
      <x/>
    </i>
  </rowItems>
  <colFields count="1">
    <field x="0"/>
  </colFields>
  <colItems count="6">
    <i>
      <x/>
    </i>
    <i>
      <x v="1"/>
    </i>
    <i>
      <x v="2"/>
    </i>
    <i>
      <x v="3"/>
    </i>
    <i>
      <x v="4"/>
    </i>
    <i t="grand">
      <x/>
    </i>
  </colItems>
  <dataFields count="1">
    <dataField name="Maturity" fld="0" subtotal="count" baseField="0" baseItem="0"/>
  </dataFields>
  <formats count="1">
    <format dxfId="11">
      <pivotArea type="topRight" dataOnly="0" labelOnly="1" outline="0"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CBADE6D-1D28-4FD5-9B3F-1B973C423649}"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colHeaderCaption="Layer">
  <location ref="BX3:CD9" firstHeaderRow="1" firstDataRow="2" firstDataCol="1"/>
  <pivotFields count="16">
    <pivotField axis="axisCol" dataField="1" showAll="0">
      <items count="8">
        <item x="0"/>
        <item x="1"/>
        <item x="2"/>
        <item x="3"/>
        <item x="4"/>
        <item h="1" x="5"/>
        <item h="1" x="6"/>
        <item t="default"/>
      </items>
    </pivotField>
    <pivotField showAll="0"/>
    <pivotField showAll="0"/>
    <pivotField showAll="0"/>
    <pivotField showAll="0"/>
    <pivotField showAll="0"/>
    <pivotField showAll="0"/>
    <pivotField showAll="0"/>
    <pivotField showAll="0"/>
    <pivotField showAll="0"/>
    <pivotField showAll="0"/>
    <pivotField axis="axisRow" showAll="0">
      <items count="7">
        <item m="1" x="5"/>
        <item x="4"/>
        <item x="2"/>
        <item x="0"/>
        <item x="1"/>
        <item x="3"/>
        <item t="default"/>
      </items>
    </pivotField>
    <pivotField showAll="0"/>
    <pivotField showAll="0"/>
    <pivotField showAll="0"/>
    <pivotField showAll="0"/>
  </pivotFields>
  <rowFields count="1">
    <field x="11"/>
  </rowFields>
  <rowItems count="5">
    <i>
      <x v="2"/>
    </i>
    <i>
      <x v="3"/>
    </i>
    <i>
      <x v="4"/>
    </i>
    <i>
      <x v="5"/>
    </i>
    <i t="grand">
      <x/>
    </i>
  </rowItems>
  <colFields count="1">
    <field x="0"/>
  </colFields>
  <colItems count="6">
    <i>
      <x/>
    </i>
    <i>
      <x v="1"/>
    </i>
    <i>
      <x v="2"/>
    </i>
    <i>
      <x v="3"/>
    </i>
    <i>
      <x v="4"/>
    </i>
    <i t="grand">
      <x/>
    </i>
  </colItems>
  <dataFields count="1">
    <dataField name="Maturity" fld="0" subtotal="count" baseField="0" baseItem="0"/>
  </dataFields>
  <formats count="1">
    <format dxfId="12">
      <pivotArea type="topRight" dataOnly="0" labelOnly="1" outline="0"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E9E1E32-8CA8-494D-8CE7-F3BE6CC773BF}"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colHeaderCaption="Layer">
  <location ref="AJ3:AP8" firstHeaderRow="1" firstDataRow="2" firstDataCol="1"/>
  <pivotFields count="16">
    <pivotField axis="axisCol" dataField="1" showAll="0">
      <items count="8">
        <item x="0"/>
        <item x="1"/>
        <item x="2"/>
        <item x="3"/>
        <item x="4"/>
        <item h="1" x="5"/>
        <item h="1" x="6"/>
        <item t="default"/>
      </items>
    </pivotField>
    <pivotField showAll="0"/>
    <pivotField showAll="0"/>
    <pivotField showAll="0"/>
    <pivotField showAll="0"/>
    <pivotField showAll="0"/>
    <pivotField axis="axisRow" showAll="0">
      <items count="5">
        <item x="2"/>
        <item x="0"/>
        <item x="1"/>
        <item x="3"/>
        <item t="default"/>
      </items>
    </pivotField>
    <pivotField showAll="0"/>
    <pivotField showAll="0"/>
    <pivotField showAll="0"/>
    <pivotField showAll="0"/>
    <pivotField showAll="0"/>
    <pivotField showAll="0"/>
    <pivotField showAll="0"/>
    <pivotField showAll="0"/>
    <pivotField showAll="0"/>
  </pivotFields>
  <rowFields count="1">
    <field x="6"/>
  </rowFields>
  <rowItems count="4">
    <i>
      <x/>
    </i>
    <i>
      <x v="1"/>
    </i>
    <i>
      <x v="2"/>
    </i>
    <i t="grand">
      <x/>
    </i>
  </rowItems>
  <colFields count="1">
    <field x="0"/>
  </colFields>
  <colItems count="6">
    <i>
      <x/>
    </i>
    <i>
      <x v="1"/>
    </i>
    <i>
      <x v="2"/>
    </i>
    <i>
      <x v="3"/>
    </i>
    <i>
      <x v="4"/>
    </i>
    <i t="grand">
      <x/>
    </i>
  </colItems>
  <dataFields count="1">
    <dataField name="Maturity" fld="0" subtotal="count" baseField="0" baseItem="0"/>
  </dataFields>
  <formats count="1">
    <format dxfId="13">
      <pivotArea type="topRight" dataOnly="0" labelOnly="1" outline="0"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7526FEF-840E-4207-ABF2-B3B1BD06BF27}"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colHeaderCaption="Layer">
  <location ref="T3:Z10" firstHeaderRow="1" firstDataRow="2" firstDataCol="1"/>
  <pivotFields count="16">
    <pivotField axis="axisCol" dataField="1" showAll="0">
      <items count="8">
        <item x="0"/>
        <item x="1"/>
        <item x="2"/>
        <item x="3"/>
        <item x="4"/>
        <item h="1" x="5"/>
        <item h="1" x="6"/>
        <item t="default"/>
      </items>
    </pivotField>
    <pivotField showAll="0"/>
    <pivotField axis="axisRow" showAll="0">
      <items count="7">
        <item x="0"/>
        <item x="3"/>
        <item x="4"/>
        <item x="2"/>
        <item x="1"/>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Fields count="1">
    <field x="0"/>
  </colFields>
  <colItems count="6">
    <i>
      <x/>
    </i>
    <i>
      <x v="1"/>
    </i>
    <i>
      <x v="2"/>
    </i>
    <i>
      <x v="3"/>
    </i>
    <i>
      <x v="4"/>
    </i>
    <i t="grand">
      <x/>
    </i>
  </colItems>
  <dataFields count="1">
    <dataField name="Maturity" fld="0" subtotal="count" baseField="0" baseItem="0"/>
  </dataFields>
  <formats count="1">
    <format dxfId="14">
      <pivotArea type="topRight" dataOnly="0" labelOnly="1" outline="0"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EAF5296-DD1F-4B6D-A544-55641C2A95A1}"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colHeaderCaption="Layer">
  <location ref="AR3:AX8" firstHeaderRow="1" firstDataRow="2" firstDataCol="1"/>
  <pivotFields count="16">
    <pivotField axis="axisCol" dataField="1" showAll="0">
      <items count="8">
        <item x="0"/>
        <item x="1"/>
        <item x="2"/>
        <item x="3"/>
        <item x="4"/>
        <item h="1" x="5"/>
        <item h="1" x="6"/>
        <item t="default"/>
      </items>
    </pivotField>
    <pivotField showAll="0"/>
    <pivotField showAll="0"/>
    <pivotField showAll="0"/>
    <pivotField showAll="0"/>
    <pivotField showAll="0"/>
    <pivotField showAll="0"/>
    <pivotField axis="axisRow" showAll="0">
      <items count="6">
        <item m="1" x="4"/>
        <item x="0"/>
        <item x="1"/>
        <item x="3"/>
        <item x="2"/>
        <item t="default"/>
      </items>
    </pivotField>
    <pivotField showAll="0"/>
    <pivotField showAll="0"/>
    <pivotField showAll="0"/>
    <pivotField showAll="0"/>
    <pivotField showAll="0"/>
    <pivotField showAll="0"/>
    <pivotField showAll="0"/>
    <pivotField showAll="0"/>
  </pivotFields>
  <rowFields count="1">
    <field x="7"/>
  </rowFields>
  <rowItems count="4">
    <i>
      <x v="1"/>
    </i>
    <i>
      <x v="2"/>
    </i>
    <i>
      <x v="4"/>
    </i>
    <i t="grand">
      <x/>
    </i>
  </rowItems>
  <colFields count="1">
    <field x="0"/>
  </colFields>
  <colItems count="6">
    <i>
      <x/>
    </i>
    <i>
      <x v="1"/>
    </i>
    <i>
      <x v="2"/>
    </i>
    <i>
      <x v="3"/>
    </i>
    <i>
      <x v="4"/>
    </i>
    <i t="grand">
      <x/>
    </i>
  </colItems>
  <dataFields count="1">
    <dataField name="Maturity" fld="0" subtotal="count" baseField="0" baseItem="0"/>
  </dataFields>
  <formats count="1">
    <format dxfId="15">
      <pivotArea type="topRight" dataOnly="0" labelOnly="1" outline="0"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7DFC7CF-3575-46C9-8394-2C0B2D6C2611}"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colHeaderCaption="Layer">
  <location ref="AB3:AH5" firstHeaderRow="1" firstDataRow="2" firstDataCol="1"/>
  <pivotFields count="16">
    <pivotField axis="axisCol" dataField="1" showAll="0">
      <items count="8">
        <item x="0"/>
        <item x="1"/>
        <item x="2"/>
        <item x="3"/>
        <item x="4"/>
        <item h="1" x="5"/>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0"/>
  </colFields>
  <colItems count="6">
    <i>
      <x/>
    </i>
    <i>
      <x v="1"/>
    </i>
    <i>
      <x v="2"/>
    </i>
    <i>
      <x v="3"/>
    </i>
    <i>
      <x v="4"/>
    </i>
    <i t="grand">
      <x/>
    </i>
  </colItems>
  <dataFields count="1">
    <dataField name="Maturity" fld="0" subtotal="count" baseField="0" baseItem="0"/>
  </dataFields>
  <formats count="1">
    <format dxfId="16">
      <pivotArea type="topRight" dataOnly="0" labelOnly="1" outline="0"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491F934-A9D8-4AC6-A313-01A0516ECE1F}"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colHeaderCaption="Layer">
  <location ref="CV3:DB9" firstHeaderRow="1" firstDataRow="2" firstDataCol="1"/>
  <pivotFields count="16">
    <pivotField axis="axisCol" dataField="1" showAll="0">
      <items count="8">
        <item x="0"/>
        <item x="1"/>
        <item x="2"/>
        <item x="3"/>
        <item x="4"/>
        <item h="1" x="5"/>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3"/>
        <item x="2"/>
        <item x="1"/>
        <item x="0"/>
        <item x="4"/>
        <item t="default"/>
      </items>
    </pivotField>
    <pivotField showAll="0"/>
  </pivotFields>
  <rowFields count="1">
    <field x="14"/>
  </rowFields>
  <rowItems count="5">
    <i>
      <x/>
    </i>
    <i>
      <x v="1"/>
    </i>
    <i>
      <x v="2"/>
    </i>
    <i>
      <x v="3"/>
    </i>
    <i t="grand">
      <x/>
    </i>
  </rowItems>
  <colFields count="1">
    <field x="0"/>
  </colFields>
  <colItems count="6">
    <i>
      <x/>
    </i>
    <i>
      <x v="1"/>
    </i>
    <i>
      <x v="2"/>
    </i>
    <i>
      <x v="3"/>
    </i>
    <i>
      <x v="4"/>
    </i>
    <i t="grand">
      <x/>
    </i>
  </colItems>
  <dataFields count="1">
    <dataField name="Maturity" fld="0" subtotal="count" baseField="0" baseItem="0"/>
  </dataFields>
  <formats count="1">
    <format dxfId="17">
      <pivotArea type="topRight" dataOnly="0" labelOnly="1" outline="0"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0C7EF39-2294-480F-B287-164213828840}"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colHeaderCaption="Layer">
  <location ref="CN3:CT7" firstHeaderRow="1" firstDataRow="2" firstDataCol="1"/>
  <pivotFields count="16">
    <pivotField axis="axisCol" dataField="1" showAll="0">
      <items count="8">
        <item x="0"/>
        <item x="1"/>
        <item x="2"/>
        <item x="3"/>
        <item x="4"/>
        <item h="1" x="5"/>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s>
  <rowFields count="1">
    <field x="13"/>
  </rowFields>
  <rowItems count="3">
    <i>
      <x/>
    </i>
    <i>
      <x v="2"/>
    </i>
    <i t="grand">
      <x/>
    </i>
  </rowItems>
  <colFields count="1">
    <field x="0"/>
  </colFields>
  <colItems count="6">
    <i>
      <x/>
    </i>
    <i>
      <x v="1"/>
    </i>
    <i>
      <x v="2"/>
    </i>
    <i>
      <x v="3"/>
    </i>
    <i>
      <x v="4"/>
    </i>
    <i t="grand">
      <x/>
    </i>
  </colItems>
  <dataFields count="1">
    <dataField name="Maturity" fld="0" subtotal="count" baseField="0" baseItem="0"/>
  </dataFields>
  <formats count="1">
    <format dxfId="18">
      <pivotArea type="topRight" dataOnly="0" labelOnly="1" outline="0"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460D3FA-17ED-4DCC-A535-44243D0CF711}"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colHeaderCaption="Layer">
  <location ref="BP3:BV8" firstHeaderRow="1" firstDataRow="2" firstDataCol="1"/>
  <pivotFields count="16">
    <pivotField axis="axisCol" dataField="1" showAll="0">
      <items count="8">
        <item x="0"/>
        <item x="1"/>
        <item x="2"/>
        <item x="3"/>
        <item x="4"/>
        <item h="1" x="5"/>
        <item h="1" x="6"/>
        <item t="default"/>
      </items>
    </pivotField>
    <pivotField showAll="0"/>
    <pivotField showAll="0"/>
    <pivotField showAll="0"/>
    <pivotField showAll="0"/>
    <pivotField showAll="0"/>
    <pivotField showAll="0"/>
    <pivotField showAll="0"/>
    <pivotField showAll="0"/>
    <pivotField showAll="0"/>
    <pivotField axis="axisRow" showAll="0">
      <items count="6">
        <item m="1" x="4"/>
        <item x="3"/>
        <item x="0"/>
        <item x="2"/>
        <item x="1"/>
        <item t="default"/>
      </items>
    </pivotField>
    <pivotField showAll="0"/>
    <pivotField showAll="0"/>
    <pivotField showAll="0"/>
    <pivotField showAll="0"/>
    <pivotField showAll="0"/>
  </pivotFields>
  <rowFields count="1">
    <field x="10"/>
  </rowFields>
  <rowItems count="4">
    <i>
      <x v="2"/>
    </i>
    <i>
      <x v="3"/>
    </i>
    <i>
      <x v="4"/>
    </i>
    <i t="grand">
      <x/>
    </i>
  </rowItems>
  <colFields count="1">
    <field x="0"/>
  </colFields>
  <colItems count="6">
    <i>
      <x/>
    </i>
    <i>
      <x v="1"/>
    </i>
    <i>
      <x v="2"/>
    </i>
    <i>
      <x v="3"/>
    </i>
    <i>
      <x v="4"/>
    </i>
    <i t="grand">
      <x/>
    </i>
  </colItems>
  <dataFields count="1">
    <dataField name="Maturity" fld="0" subtotal="count" baseField="0" baseItem="0"/>
  </dataFields>
  <formats count="1">
    <format dxfId="19">
      <pivotArea type="topRight" dataOnly="0" labelOnly="1" outline="0"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36415E-9E8E-4B27-A739-46B911881B47}" name="Table1" displayName="Table1" ref="B8:G38" totalsRowShown="0" headerRowDxfId="7" dataDxfId="6">
  <autoFilter ref="B8:G38" xr:uid="{EA36415E-9E8E-4B27-A739-46B911881B47}"/>
  <tableColumns count="6">
    <tableColumn id="1" xr3:uid="{5EBBE517-1D7E-4EA4-B810-836706CE4D97}" name="Category" dataDxfId="5"/>
    <tableColumn id="2" xr3:uid="{ECA2EC68-1DB6-4660-8E62-F74FEEB43AC9}" name="Task" dataDxfId="4"/>
    <tableColumn id="7" xr3:uid="{DEA487F2-50A8-41F7-B0DD-A2E2CEFF5E8E}" name="Details" dataDxfId="3"/>
    <tableColumn id="3" xr3:uid="{20A8D11F-5A5E-4598-B745-D9CBC15A7112}" name="SRE" dataDxfId="2"/>
    <tableColumn id="4" xr3:uid="{9C5A8429-33A8-4818-8D38-B4E9BA23489D}" name="Engineering" dataDxfId="1"/>
    <tableColumn id="5" xr3:uid="{39DACC9E-2F10-4EBB-B6BC-6BA7E735ED2A}" name="Cloud DBA" dataDxfId="0"/>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ukginc.sharepoint.com/:x:/r/teams/data_bidw/Shared%20Documents/Data%20Platform%20Value%20Stream/People%20Fabric/Observability%20%26%20Resiliency/People%20Fabric%20Observability%20%26%20Resiliency%20Health%20Baseline.xlsm?d=w5dc69c46129b4442b8b29238fd30c50a&amp;csf=1&amp;web=1&amp;e=f0W9lY"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13" Type="http://schemas.openxmlformats.org/officeDocument/2006/relationships/hyperlink" Target="https://engjira.int.kronos.com/browse/PS-545427" TargetMode="External"/><Relationship Id="rId18" Type="http://schemas.openxmlformats.org/officeDocument/2006/relationships/hyperlink" Target="https://engjira.int.kronos.com/browse/PS-598453" TargetMode="External"/><Relationship Id="rId26" Type="http://schemas.openxmlformats.org/officeDocument/2006/relationships/hyperlink" Target="https://ukg.grafana.net/goto/cezrnm4ugy3uof?orgId=1" TargetMode="External"/><Relationship Id="rId39" Type="http://schemas.openxmlformats.org/officeDocument/2006/relationships/drawing" Target="../drawings/drawing5.xml"/><Relationship Id="rId21" Type="http://schemas.openxmlformats.org/officeDocument/2006/relationships/hyperlink" Target="https://engjira.int.kronos.com/browse/PS-598462" TargetMode="External"/><Relationship Id="rId34" Type="http://schemas.openxmlformats.org/officeDocument/2006/relationships/hyperlink" Target="https://engjira.int.kronos.com/browse/PS-664093" TargetMode="External"/><Relationship Id="rId7" Type="http://schemas.openxmlformats.org/officeDocument/2006/relationships/hyperlink" Target="https://engjira.int.kronos.com/browse/PS-572734" TargetMode="External"/><Relationship Id="rId12" Type="http://schemas.openxmlformats.org/officeDocument/2006/relationships/hyperlink" Target="https://engjira.int.kronos.com/browse/PS-545419" TargetMode="External"/><Relationship Id="rId17" Type="http://schemas.openxmlformats.org/officeDocument/2006/relationships/hyperlink" Target="https://engjira.int.kronos.com/browse/PS-598451" TargetMode="External"/><Relationship Id="rId25" Type="http://schemas.openxmlformats.org/officeDocument/2006/relationships/hyperlink" Target="https://ukg.grafana.net/goto/eezq5d42jgvswa?orgId=1" TargetMode="External"/><Relationship Id="rId33" Type="http://schemas.openxmlformats.org/officeDocument/2006/relationships/hyperlink" Target="https://ukg.grafana.net/d/mu4bkrf/conversational-framework-observability-sre?orgId=1&amp;from=now-7d&amp;to=now&amp;timezone=browser&amp;var-env=DEV&amp;var-datasource=de9azvkj5tudca&amp;var-prom_datasource=edi58rhsvq2v4b&amp;var-multi_region=us-east4&amp;var-environment=dev-staging&amp;var-service=ner&amp;var-endpoint=v2%2Fscore&amp;var-endpoint_data=%2Fner%2Fv2%2Fscore&amp;var-dataset_id=conv_observability_dev_stage_us_81451&amp;var-datacenter=us_east4&amp;var-namespace=ds-staging&amp;var-mongodb_cl_name=privacy-manager-beta-6sysc&amp;viewPanel=panel-38" TargetMode="External"/><Relationship Id="rId38" Type="http://schemas.openxmlformats.org/officeDocument/2006/relationships/hyperlink" Target="https://ukg.grafana.net/d/0VSiotDnk/k8s-cluster-health?var-interval=1m&amp;orgId=1&amp;from=now-6h&amp;to=now&amp;timezone=browser&amp;var-dc=us-east4&amp;var-environment=ds-dev&amp;var-container=service-intent-training-metrics&amp;var-datasource=edi58rhsvq2v4b&amp;refresh=5s&amp;viewPanel=panel-10" TargetMode="External"/><Relationship Id="rId2" Type="http://schemas.openxmlformats.org/officeDocument/2006/relationships/hyperlink" Target="https://engjira.int.kronos.com/browse/PS-572749" TargetMode="External"/><Relationship Id="rId16" Type="http://schemas.openxmlformats.org/officeDocument/2006/relationships/hyperlink" Target="https://engjira.int.kronos.com/browse/PS-597275" TargetMode="External"/><Relationship Id="rId20" Type="http://schemas.openxmlformats.org/officeDocument/2006/relationships/hyperlink" Target="https://ukg.grafana.net/goto/df07uvra4f4e8c?orgId=1" TargetMode="External"/><Relationship Id="rId29" Type="http://schemas.openxmlformats.org/officeDocument/2006/relationships/hyperlink" Target="https://engjira.int.kronos.com/browse/PS-598513" TargetMode="External"/><Relationship Id="rId1" Type="http://schemas.openxmlformats.org/officeDocument/2006/relationships/hyperlink" Target="https://engjira.int.kronos.com/browse/PS-572749" TargetMode="External"/><Relationship Id="rId6" Type="http://schemas.openxmlformats.org/officeDocument/2006/relationships/hyperlink" Target="https://engjira.int.kronos.com/browse/PS-572734" TargetMode="External"/><Relationship Id="rId11" Type="http://schemas.openxmlformats.org/officeDocument/2006/relationships/hyperlink" Target="https://engjira.int.kronos.com/browse/PS-545430" TargetMode="External"/><Relationship Id="rId24" Type="http://schemas.openxmlformats.org/officeDocument/2006/relationships/hyperlink" Target="https://ukg.grafana.net/goto/dezq5byaghs00f?orgId=1" TargetMode="External"/><Relationship Id="rId32" Type="http://schemas.openxmlformats.org/officeDocument/2006/relationships/hyperlink" Target="https://engjira.int.kronos.com/browse/PS-657010" TargetMode="External"/><Relationship Id="rId37" Type="http://schemas.openxmlformats.org/officeDocument/2006/relationships/hyperlink" Target="https://ukg.grafana.net/goto/cezq59mejv6yoe?orgId=1" TargetMode="External"/><Relationship Id="rId5" Type="http://schemas.openxmlformats.org/officeDocument/2006/relationships/hyperlink" Target="https://engjira.int.kronos.com/secure/Dashboard.jspa?selectPageId=61849" TargetMode="External"/><Relationship Id="rId15" Type="http://schemas.openxmlformats.org/officeDocument/2006/relationships/hyperlink" Target="https://engjira.int.kronos.com/browse/PS-545424" TargetMode="External"/><Relationship Id="rId23" Type="http://schemas.openxmlformats.org/officeDocument/2006/relationships/hyperlink" Target="https://engjira.int.kronos.com/browse/PS-598500" TargetMode="External"/><Relationship Id="rId28" Type="http://schemas.openxmlformats.org/officeDocument/2006/relationships/hyperlink" Target="https://engjira.int.kronos.com/browse/PS-598508" TargetMode="External"/><Relationship Id="rId36" Type="http://schemas.openxmlformats.org/officeDocument/2006/relationships/hyperlink" Target="https://engjira.int.kronos.com/browse/PS-664099" TargetMode="External"/><Relationship Id="rId10" Type="http://schemas.openxmlformats.org/officeDocument/2006/relationships/hyperlink" Target="https://engjira.int.kronos.com/browse/PS-572770" TargetMode="External"/><Relationship Id="rId19" Type="http://schemas.openxmlformats.org/officeDocument/2006/relationships/hyperlink" Target="https://ukg.grafana.net/goto/bf07uu9xoeuwwb?orgId=1" TargetMode="External"/><Relationship Id="rId31" Type="http://schemas.openxmlformats.org/officeDocument/2006/relationships/hyperlink" Target="https://engjira.int.kronos.com/browse/PS-598519" TargetMode="External"/><Relationship Id="rId4" Type="http://schemas.openxmlformats.org/officeDocument/2006/relationships/hyperlink" Target="https://engjira.int.kronos.com/browse/PS-572754" TargetMode="External"/><Relationship Id="rId9" Type="http://schemas.openxmlformats.org/officeDocument/2006/relationships/hyperlink" Target="https://engjira.int.kronos.com/browse/PS-572779" TargetMode="External"/><Relationship Id="rId14" Type="http://schemas.openxmlformats.org/officeDocument/2006/relationships/hyperlink" Target="https://engjira.int.kronos.com/browse/PS-545421" TargetMode="External"/><Relationship Id="rId22" Type="http://schemas.openxmlformats.org/officeDocument/2006/relationships/hyperlink" Target="https://engjira.int.kronos.com/browse/PS-598469" TargetMode="External"/><Relationship Id="rId27" Type="http://schemas.openxmlformats.org/officeDocument/2006/relationships/hyperlink" Target="https://engjira.int.kronos.com/browse/PS-598507" TargetMode="External"/><Relationship Id="rId30" Type="http://schemas.openxmlformats.org/officeDocument/2006/relationships/hyperlink" Target="https://engjira.int.kronos.com/browse/PS-598516" TargetMode="External"/><Relationship Id="rId35" Type="http://schemas.openxmlformats.org/officeDocument/2006/relationships/hyperlink" Target="https://engjira.int.kronos.com/browse/PS-664099" TargetMode="External"/><Relationship Id="rId8" Type="http://schemas.openxmlformats.org/officeDocument/2006/relationships/hyperlink" Target="https://engjira.int.kronos.com/browse/PS-572780" TargetMode="External"/><Relationship Id="rId3" Type="http://schemas.openxmlformats.org/officeDocument/2006/relationships/hyperlink" Target="https://engjira.int.kronos.com/browse/PS-572754"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B5478-66E6-4C65-A84D-B3501751313C}">
  <sheetPr codeName="Sheet4"/>
  <dimension ref="B2:N6"/>
  <sheetViews>
    <sheetView topLeftCell="A4" zoomScale="75" workbookViewId="0">
      <selection activeCell="A4" sqref="A4:XFD4"/>
    </sheetView>
  </sheetViews>
  <sheetFormatPr baseColWidth="10" defaultColWidth="9" defaultRowHeight="16"/>
  <cols>
    <col min="1" max="1" width="3.5" style="29" customWidth="1"/>
    <col min="2" max="2" width="33.5" style="29" customWidth="1"/>
    <col min="3" max="13" width="9" style="29"/>
    <col min="14" max="14" width="15" style="29" customWidth="1"/>
    <col min="15" max="16384" width="9" style="29"/>
  </cols>
  <sheetData>
    <row r="2" spans="2:14" ht="24">
      <c r="B2" s="333" t="s">
        <v>0</v>
      </c>
      <c r="C2" s="334"/>
      <c r="D2" s="334"/>
      <c r="E2" s="334"/>
      <c r="F2" s="334"/>
      <c r="G2" s="334"/>
      <c r="H2" s="334"/>
      <c r="I2" s="334"/>
      <c r="J2" s="334"/>
      <c r="K2" s="334"/>
      <c r="L2" s="334"/>
      <c r="M2" s="334"/>
      <c r="N2" s="335"/>
    </row>
    <row r="3" spans="2:14" ht="61.5" customHeight="1">
      <c r="B3" s="330" t="s">
        <v>1</v>
      </c>
      <c r="C3" s="331"/>
      <c r="D3" s="331"/>
      <c r="E3" s="331"/>
      <c r="F3" s="331"/>
      <c r="G3" s="331"/>
      <c r="H3" s="331"/>
      <c r="I3" s="331"/>
      <c r="J3" s="331"/>
      <c r="K3" s="331"/>
      <c r="L3" s="331"/>
      <c r="M3" s="331"/>
      <c r="N3" s="332"/>
    </row>
    <row r="4" spans="2:14" s="336" customFormat="1" ht="18" customHeight="1"/>
    <row r="5" spans="2:14" s="30" customFormat="1" ht="22.5" customHeight="1">
      <c r="B5" s="333" t="s">
        <v>2</v>
      </c>
      <c r="C5" s="334"/>
      <c r="D5" s="334"/>
      <c r="E5" s="334"/>
      <c r="F5" s="334"/>
      <c r="G5" s="334"/>
      <c r="H5" s="334"/>
      <c r="I5" s="334"/>
      <c r="J5" s="334"/>
      <c r="K5" s="334"/>
      <c r="L5" s="334"/>
      <c r="M5" s="334"/>
      <c r="N5" s="335"/>
    </row>
    <row r="6" spans="2:14" ht="319.5" customHeight="1">
      <c r="B6" s="330" t="s">
        <v>3</v>
      </c>
      <c r="C6" s="331"/>
      <c r="D6" s="331"/>
      <c r="E6" s="331"/>
      <c r="F6" s="331"/>
      <c r="G6" s="331"/>
      <c r="H6" s="331"/>
      <c r="I6" s="331"/>
      <c r="J6" s="331"/>
      <c r="K6" s="331"/>
      <c r="L6" s="331"/>
      <c r="M6" s="331"/>
      <c r="N6" s="332"/>
    </row>
  </sheetData>
  <mergeCells count="5">
    <mergeCell ref="B3:N3"/>
    <mergeCell ref="B2:N2"/>
    <mergeCell ref="A4:XFD4"/>
    <mergeCell ref="B5:N5"/>
    <mergeCell ref="B6:N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44170-0447-45E3-9792-C98F27A8D731}">
  <sheetPr codeName="Sheet9"/>
  <dimension ref="B2:F81"/>
  <sheetViews>
    <sheetView tabSelected="1" zoomScaleNormal="100" workbookViewId="0">
      <selection activeCell="C19" sqref="C19"/>
    </sheetView>
  </sheetViews>
  <sheetFormatPr baseColWidth="10" defaultColWidth="8.83203125" defaultRowHeight="16"/>
  <cols>
    <col min="1" max="1" width="1.5" customWidth="1"/>
    <col min="2" max="2" width="6.83203125" bestFit="1" customWidth="1"/>
    <col min="3" max="3" width="39" customWidth="1"/>
    <col min="4" max="4" width="42.33203125" bestFit="1" customWidth="1"/>
    <col min="5" max="5" width="156.5" customWidth="1"/>
  </cols>
  <sheetData>
    <row r="2" spans="2:5">
      <c r="B2" s="44" t="s">
        <v>4</v>
      </c>
      <c r="C2" s="45" t="s">
        <v>5</v>
      </c>
      <c r="D2" s="45" t="s">
        <v>6</v>
      </c>
      <c r="E2" s="40" t="s">
        <v>7</v>
      </c>
    </row>
    <row r="3" spans="2:5" ht="17">
      <c r="B3" s="41" t="s">
        <v>8</v>
      </c>
      <c r="C3" s="147" t="s">
        <v>9</v>
      </c>
      <c r="D3" s="77" t="s">
        <v>10</v>
      </c>
      <c r="E3" s="46" t="s">
        <v>11</v>
      </c>
    </row>
    <row r="4" spans="2:5">
      <c r="B4" s="35" t="s">
        <v>8</v>
      </c>
      <c r="C4" s="35" t="s">
        <v>9</v>
      </c>
      <c r="D4" s="34" t="s">
        <v>12</v>
      </c>
      <c r="E4" s="16" t="s">
        <v>13</v>
      </c>
    </row>
    <row r="5" spans="2:5">
      <c r="B5" s="35" t="s">
        <v>8</v>
      </c>
      <c r="C5" s="35" t="s">
        <v>9</v>
      </c>
      <c r="D5" s="23" t="s">
        <v>14</v>
      </c>
      <c r="E5" s="47" t="s">
        <v>15</v>
      </c>
    </row>
    <row r="6" spans="2:5">
      <c r="B6" s="35" t="s">
        <v>8</v>
      </c>
      <c r="C6" s="35" t="s">
        <v>9</v>
      </c>
      <c r="D6" s="23" t="s">
        <v>16</v>
      </c>
      <c r="E6" s="47" t="s">
        <v>17</v>
      </c>
    </row>
    <row r="7" spans="2:5">
      <c r="B7" s="35" t="s">
        <v>8</v>
      </c>
      <c r="C7" s="35" t="s">
        <v>9</v>
      </c>
      <c r="D7" s="78" t="s">
        <v>18</v>
      </c>
      <c r="E7" s="16" t="s">
        <v>19</v>
      </c>
    </row>
    <row r="8" spans="2:5">
      <c r="B8" s="35" t="s">
        <v>8</v>
      </c>
      <c r="C8" s="35" t="s">
        <v>9</v>
      </c>
      <c r="D8" s="23" t="s">
        <v>20</v>
      </c>
      <c r="E8" s="47" t="s">
        <v>21</v>
      </c>
    </row>
    <row r="9" spans="2:5">
      <c r="B9" s="13" t="s">
        <v>22</v>
      </c>
      <c r="C9" s="13" t="s">
        <v>23</v>
      </c>
      <c r="D9" s="79" t="s">
        <v>24</v>
      </c>
      <c r="E9" s="47" t="s">
        <v>25</v>
      </c>
    </row>
    <row r="10" spans="2:5">
      <c r="B10" s="13" t="s">
        <v>22</v>
      </c>
      <c r="C10" s="13" t="s">
        <v>23</v>
      </c>
      <c r="D10" s="79" t="s">
        <v>26</v>
      </c>
      <c r="E10" s="47" t="s">
        <v>27</v>
      </c>
    </row>
    <row r="11" spans="2:5">
      <c r="B11" s="13" t="s">
        <v>22</v>
      </c>
      <c r="C11" s="13" t="s">
        <v>23</v>
      </c>
      <c r="D11" s="79" t="s">
        <v>28</v>
      </c>
      <c r="E11" s="47" t="s">
        <v>29</v>
      </c>
    </row>
    <row r="12" spans="2:5">
      <c r="B12" s="13" t="s">
        <v>22</v>
      </c>
      <c r="C12" s="13" t="s">
        <v>23</v>
      </c>
      <c r="D12" s="79" t="s">
        <v>30</v>
      </c>
      <c r="E12" s="47" t="s">
        <v>31</v>
      </c>
    </row>
    <row r="13" spans="2:5">
      <c r="B13" s="13" t="s">
        <v>22</v>
      </c>
      <c r="C13" s="13" t="s">
        <v>23</v>
      </c>
      <c r="D13" s="42" t="s">
        <v>32</v>
      </c>
      <c r="E13" s="47" t="s">
        <v>33</v>
      </c>
    </row>
    <row r="14" spans="2:5">
      <c r="B14" s="35" t="s">
        <v>22</v>
      </c>
      <c r="C14" s="13" t="s">
        <v>23</v>
      </c>
      <c r="D14" s="50" t="s">
        <v>34</v>
      </c>
      <c r="E14" s="47" t="s">
        <v>35</v>
      </c>
    </row>
    <row r="15" spans="2:5">
      <c r="B15" s="35" t="s">
        <v>22</v>
      </c>
      <c r="C15" s="13" t="s">
        <v>23</v>
      </c>
      <c r="D15" s="34" t="s">
        <v>36</v>
      </c>
      <c r="E15" s="47" t="s">
        <v>37</v>
      </c>
    </row>
    <row r="16" spans="2:5">
      <c r="B16" s="35" t="s">
        <v>38</v>
      </c>
      <c r="C16" s="35" t="s">
        <v>39</v>
      </c>
      <c r="D16" s="34" t="s">
        <v>40</v>
      </c>
      <c r="E16" s="47" t="s">
        <v>41</v>
      </c>
    </row>
    <row r="17" spans="2:5">
      <c r="B17" s="35" t="s">
        <v>38</v>
      </c>
      <c r="C17" s="35" t="s">
        <v>39</v>
      </c>
      <c r="D17" s="34" t="s">
        <v>42</v>
      </c>
      <c r="E17" s="47" t="s">
        <v>43</v>
      </c>
    </row>
    <row r="18" spans="2:5">
      <c r="B18" s="35" t="s">
        <v>38</v>
      </c>
      <c r="C18" s="35" t="s">
        <v>39</v>
      </c>
      <c r="D18" s="34" t="s">
        <v>44</v>
      </c>
      <c r="E18" s="47" t="s">
        <v>45</v>
      </c>
    </row>
    <row r="19" spans="2:5">
      <c r="B19" s="35" t="s">
        <v>38</v>
      </c>
      <c r="C19" s="35" t="s">
        <v>39</v>
      </c>
      <c r="D19" s="34" t="s">
        <v>46</v>
      </c>
      <c r="E19" s="47" t="s">
        <v>47</v>
      </c>
    </row>
    <row r="20" spans="2:5">
      <c r="B20" s="35" t="s">
        <v>38</v>
      </c>
      <c r="C20" s="35" t="s">
        <v>39</v>
      </c>
      <c r="D20" s="34" t="s">
        <v>48</v>
      </c>
      <c r="E20" s="47" t="s">
        <v>49</v>
      </c>
    </row>
    <row r="21" spans="2:5">
      <c r="B21" s="35" t="s">
        <v>38</v>
      </c>
      <c r="C21" s="35" t="s">
        <v>39</v>
      </c>
      <c r="D21" s="34" t="s">
        <v>50</v>
      </c>
      <c r="E21" s="47" t="s">
        <v>51</v>
      </c>
    </row>
    <row r="22" spans="2:5">
      <c r="B22" s="35" t="s">
        <v>38</v>
      </c>
      <c r="C22" s="35" t="s">
        <v>39</v>
      </c>
      <c r="D22" s="34" t="s">
        <v>52</v>
      </c>
      <c r="E22" s="47" t="s">
        <v>53</v>
      </c>
    </row>
    <row r="23" spans="2:5">
      <c r="B23" s="35" t="s">
        <v>54</v>
      </c>
      <c r="C23" s="35" t="s">
        <v>55</v>
      </c>
      <c r="D23" s="42" t="s">
        <v>56</v>
      </c>
      <c r="E23" s="47" t="s">
        <v>57</v>
      </c>
    </row>
    <row r="24" spans="2:5">
      <c r="B24" s="35" t="s">
        <v>54</v>
      </c>
      <c r="C24" s="35" t="s">
        <v>55</v>
      </c>
      <c r="D24" s="42" t="s">
        <v>58</v>
      </c>
      <c r="E24" s="47" t="s">
        <v>59</v>
      </c>
    </row>
    <row r="25" spans="2:5">
      <c r="B25" s="35" t="s">
        <v>54</v>
      </c>
      <c r="C25" s="35" t="s">
        <v>55</v>
      </c>
      <c r="D25" s="42" t="s">
        <v>60</v>
      </c>
      <c r="E25" s="47" t="s">
        <v>61</v>
      </c>
    </row>
    <row r="26" spans="2:5">
      <c r="B26" s="35" t="s">
        <v>54</v>
      </c>
      <c r="C26" s="35" t="s">
        <v>55</v>
      </c>
      <c r="D26" s="50" t="s">
        <v>62</v>
      </c>
      <c r="E26" s="47" t="s">
        <v>63</v>
      </c>
    </row>
    <row r="27" spans="2:5">
      <c r="B27" s="35" t="s">
        <v>54</v>
      </c>
      <c r="C27" s="35" t="s">
        <v>55</v>
      </c>
      <c r="D27" s="42" t="s">
        <v>64</v>
      </c>
      <c r="E27" s="47" t="s">
        <v>65</v>
      </c>
    </row>
    <row r="28" spans="2:5">
      <c r="B28" s="35" t="s">
        <v>54</v>
      </c>
      <c r="C28" s="35" t="s">
        <v>55</v>
      </c>
      <c r="D28" s="42" t="s">
        <v>66</v>
      </c>
      <c r="E28" s="47" t="s">
        <v>67</v>
      </c>
    </row>
    <row r="29" spans="2:5">
      <c r="B29" s="119" t="s">
        <v>54</v>
      </c>
      <c r="C29" s="120" t="s">
        <v>55</v>
      </c>
      <c r="D29" s="120" t="s">
        <v>68</v>
      </c>
      <c r="E29" s="121" t="s">
        <v>69</v>
      </c>
    </row>
    <row r="30" spans="2:5">
      <c r="B30" s="119" t="s">
        <v>54</v>
      </c>
      <c r="C30" s="120" t="s">
        <v>55</v>
      </c>
      <c r="D30" s="120" t="s">
        <v>70</v>
      </c>
      <c r="E30" s="121" t="s">
        <v>71</v>
      </c>
    </row>
    <row r="31" spans="2:5">
      <c r="B31" s="119" t="s">
        <v>54</v>
      </c>
      <c r="C31" s="120" t="s">
        <v>55</v>
      </c>
      <c r="D31" s="120" t="s">
        <v>72</v>
      </c>
      <c r="E31" s="121" t="s">
        <v>73</v>
      </c>
    </row>
    <row r="32" spans="2:5">
      <c r="B32" s="119" t="s">
        <v>54</v>
      </c>
      <c r="C32" s="120" t="s">
        <v>55</v>
      </c>
      <c r="D32" s="120" t="s">
        <v>74</v>
      </c>
      <c r="E32" s="121" t="s">
        <v>75</v>
      </c>
    </row>
    <row r="33" spans="2:6">
      <c r="B33" s="35" t="s">
        <v>76</v>
      </c>
      <c r="C33" s="35" t="s">
        <v>77</v>
      </c>
      <c r="D33" s="37" t="s">
        <v>78</v>
      </c>
      <c r="E33" s="48" t="s">
        <v>79</v>
      </c>
    </row>
    <row r="34" spans="2:6">
      <c r="B34" s="35" t="s">
        <v>76</v>
      </c>
      <c r="C34" s="35" t="s">
        <v>77</v>
      </c>
      <c r="D34" s="34" t="s">
        <v>80</v>
      </c>
      <c r="E34" s="47" t="s">
        <v>81</v>
      </c>
    </row>
    <row r="35" spans="2:6">
      <c r="B35" s="35" t="s">
        <v>76</v>
      </c>
      <c r="C35" s="35" t="s">
        <v>77</v>
      </c>
      <c r="D35" s="39" t="s">
        <v>82</v>
      </c>
      <c r="E35" s="47" t="s">
        <v>83</v>
      </c>
    </row>
    <row r="36" spans="2:6">
      <c r="B36" s="35" t="s">
        <v>76</v>
      </c>
      <c r="C36" s="35" t="s">
        <v>77</v>
      </c>
      <c r="D36" s="42" t="s">
        <v>84</v>
      </c>
      <c r="E36" s="47" t="s">
        <v>85</v>
      </c>
      <c r="F36" t="s">
        <v>86</v>
      </c>
    </row>
    <row r="37" spans="2:6">
      <c r="B37" s="35" t="s">
        <v>76</v>
      </c>
      <c r="C37" s="35" t="s">
        <v>77</v>
      </c>
      <c r="D37" s="42" t="s">
        <v>87</v>
      </c>
      <c r="E37" s="47" t="s">
        <v>88</v>
      </c>
    </row>
    <row r="38" spans="2:6">
      <c r="B38" s="35" t="s">
        <v>76</v>
      </c>
      <c r="C38" s="35" t="s">
        <v>77</v>
      </c>
      <c r="D38" s="42" t="s">
        <v>89</v>
      </c>
      <c r="E38" s="47" t="s">
        <v>90</v>
      </c>
    </row>
    <row r="39" spans="2:6">
      <c r="B39" s="35" t="s">
        <v>76</v>
      </c>
      <c r="C39" s="35" t="s">
        <v>77</v>
      </c>
      <c r="D39" s="42" t="s">
        <v>91</v>
      </c>
      <c r="E39" s="47" t="s">
        <v>92</v>
      </c>
    </row>
    <row r="40" spans="2:6">
      <c r="B40" s="35" t="s">
        <v>76</v>
      </c>
      <c r="C40" s="35" t="s">
        <v>77</v>
      </c>
      <c r="D40" s="78" t="s">
        <v>93</v>
      </c>
      <c r="E40" s="16" t="s">
        <v>94</v>
      </c>
    </row>
    <row r="41" spans="2:6">
      <c r="B41" s="35" t="s">
        <v>76</v>
      </c>
      <c r="C41" s="35" t="s">
        <v>77</v>
      </c>
      <c r="D41" s="78" t="s">
        <v>95</v>
      </c>
      <c r="E41" s="16" t="s">
        <v>96</v>
      </c>
    </row>
    <row r="42" spans="2:6">
      <c r="B42" s="35" t="s">
        <v>76</v>
      </c>
      <c r="C42" s="35" t="s">
        <v>77</v>
      </c>
      <c r="D42" s="78" t="s">
        <v>97</v>
      </c>
      <c r="E42" s="16" t="s">
        <v>98</v>
      </c>
    </row>
    <row r="43" spans="2:6">
      <c r="B43" s="35" t="s">
        <v>76</v>
      </c>
      <c r="C43" s="35" t="s">
        <v>77</v>
      </c>
      <c r="D43" s="50" t="s">
        <v>99</v>
      </c>
      <c r="E43" s="16" t="s">
        <v>100</v>
      </c>
      <c r="F43" t="s">
        <v>86</v>
      </c>
    </row>
    <row r="44" spans="2:6">
      <c r="B44" s="35" t="s">
        <v>76</v>
      </c>
      <c r="C44" s="35" t="s">
        <v>77</v>
      </c>
      <c r="D44" s="42" t="s">
        <v>101</v>
      </c>
      <c r="E44" s="47" t="s">
        <v>102</v>
      </c>
    </row>
    <row r="45" spans="2:6">
      <c r="B45" s="35" t="s">
        <v>76</v>
      </c>
      <c r="C45" s="35" t="s">
        <v>77</v>
      </c>
      <c r="D45" s="42" t="s">
        <v>103</v>
      </c>
      <c r="E45" s="16" t="s">
        <v>104</v>
      </c>
    </row>
    <row r="46" spans="2:6">
      <c r="B46" s="35" t="s">
        <v>76</v>
      </c>
      <c r="C46" s="35" t="s">
        <v>77</v>
      </c>
      <c r="D46" s="42" t="s">
        <v>105</v>
      </c>
      <c r="E46" s="47" t="s">
        <v>106</v>
      </c>
    </row>
    <row r="47" spans="2:6">
      <c r="B47" s="35" t="s">
        <v>107</v>
      </c>
      <c r="C47" s="35" t="s">
        <v>108</v>
      </c>
      <c r="D47" s="39" t="s">
        <v>109</v>
      </c>
      <c r="E47" s="47" t="s">
        <v>110</v>
      </c>
      <c r="F47" t="s">
        <v>86</v>
      </c>
    </row>
    <row r="48" spans="2:6">
      <c r="B48" s="35" t="s">
        <v>107</v>
      </c>
      <c r="C48" s="35" t="s">
        <v>108</v>
      </c>
      <c r="D48" s="39" t="s">
        <v>111</v>
      </c>
      <c r="E48" s="47" t="s">
        <v>112</v>
      </c>
      <c r="F48" t="s">
        <v>86</v>
      </c>
    </row>
    <row r="49" spans="2:5">
      <c r="B49" s="35" t="s">
        <v>107</v>
      </c>
      <c r="C49" s="35" t="s">
        <v>108</v>
      </c>
      <c r="D49" s="42" t="s">
        <v>113</v>
      </c>
      <c r="E49" s="47" t="s">
        <v>114</v>
      </c>
    </row>
    <row r="50" spans="2:5">
      <c r="B50" s="35" t="s">
        <v>107</v>
      </c>
      <c r="C50" s="35" t="s">
        <v>108</v>
      </c>
      <c r="D50" s="39" t="s">
        <v>115</v>
      </c>
      <c r="E50" s="47" t="s">
        <v>116</v>
      </c>
    </row>
    <row r="51" spans="2:5">
      <c r="B51" s="35" t="s">
        <v>107</v>
      </c>
      <c r="C51" s="35" t="s">
        <v>108</v>
      </c>
      <c r="D51" s="39" t="s">
        <v>117</v>
      </c>
      <c r="E51" s="47" t="s">
        <v>118</v>
      </c>
    </row>
    <row r="52" spans="2:5">
      <c r="B52" s="34" t="s">
        <v>107</v>
      </c>
      <c r="C52" s="35" t="s">
        <v>108</v>
      </c>
      <c r="D52" s="39" t="s">
        <v>119</v>
      </c>
      <c r="E52" s="23" t="s">
        <v>120</v>
      </c>
    </row>
    <row r="53" spans="2:5">
      <c r="B53" s="22"/>
      <c r="C53" s="22"/>
      <c r="D53" s="43"/>
      <c r="E53" s="49"/>
    </row>
    <row r="62" spans="2:5">
      <c r="B62" s="38"/>
      <c r="C62" s="38"/>
      <c r="D62" s="15"/>
    </row>
    <row r="63" spans="2:5">
      <c r="D63" s="305"/>
    </row>
    <row r="64" spans="2:5">
      <c r="D64" s="305"/>
    </row>
    <row r="69" spans="4:4">
      <c r="D69" s="305"/>
    </row>
    <row r="78" spans="4:4">
      <c r="D78" s="25"/>
    </row>
    <row r="79" spans="4:4">
      <c r="D79" s="25"/>
    </row>
    <row r="80" spans="4:4">
      <c r="D80" s="25"/>
    </row>
    <row r="81" spans="4:4">
      <c r="D81" s="305"/>
    </row>
  </sheetData>
  <autoFilter ref="B2:E2" xr:uid="{57E44170-0447-45E3-9792-C98F27A8D731}"/>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6DF16-856A-9E4C-915D-2C27AFDE1EEB}">
  <sheetPr codeName="Sheet18"/>
  <dimension ref="B2:P927"/>
  <sheetViews>
    <sheetView zoomScaleNormal="100" workbookViewId="0">
      <selection activeCell="D31" sqref="D31"/>
    </sheetView>
  </sheetViews>
  <sheetFormatPr baseColWidth="10" defaultColWidth="11" defaultRowHeight="16"/>
  <cols>
    <col min="1" max="1" width="2" customWidth="1"/>
    <col min="2" max="2" width="36.1640625" customWidth="1"/>
    <col min="3" max="3" width="8.6640625" bestFit="1" customWidth="1"/>
    <col min="4" max="4" width="72.83203125" bestFit="1" customWidth="1"/>
    <col min="5" max="5" width="19.5" bestFit="1" customWidth="1"/>
    <col min="6" max="6" width="34.33203125" customWidth="1"/>
    <col min="7" max="7" width="33.1640625" bestFit="1" customWidth="1"/>
    <col min="15" max="15" width="10" customWidth="1"/>
    <col min="16" max="16" width="7" customWidth="1"/>
  </cols>
  <sheetData>
    <row r="2" spans="2:7" ht="29">
      <c r="B2" s="340" t="s">
        <v>121</v>
      </c>
      <c r="C2" s="340"/>
      <c r="D2" s="340"/>
      <c r="E2" s="340"/>
      <c r="F2" s="340"/>
    </row>
    <row r="3" spans="2:7">
      <c r="B3" s="341"/>
      <c r="C3" s="341"/>
      <c r="D3" s="341"/>
      <c r="E3" s="341"/>
      <c r="F3" s="341"/>
    </row>
    <row r="4" spans="2:7" ht="24">
      <c r="B4" s="342" t="s">
        <v>122</v>
      </c>
      <c r="C4" s="343"/>
      <c r="D4" s="343"/>
      <c r="E4" s="343"/>
      <c r="F4" s="343"/>
      <c r="G4" s="344"/>
    </row>
    <row r="5" spans="2:7" ht="126.75" customHeight="1">
      <c r="B5" s="345" t="s">
        <v>123</v>
      </c>
      <c r="C5" s="346"/>
      <c r="D5" s="346"/>
      <c r="E5" s="346"/>
      <c r="F5" s="346"/>
      <c r="G5" s="347"/>
    </row>
    <row r="6" spans="2:7" ht="24">
      <c r="B6" s="348" t="s">
        <v>124</v>
      </c>
      <c r="C6" s="348"/>
      <c r="D6" s="348"/>
      <c r="E6" s="348"/>
      <c r="F6" s="348"/>
      <c r="G6" s="348"/>
    </row>
    <row r="7" spans="2:7" ht="19">
      <c r="B7" s="214" t="s">
        <v>125</v>
      </c>
      <c r="C7" s="214" t="s">
        <v>126</v>
      </c>
      <c r="D7" s="214" t="s">
        <v>127</v>
      </c>
      <c r="E7" s="214" t="s">
        <v>128</v>
      </c>
      <c r="F7" s="214" t="s">
        <v>129</v>
      </c>
      <c r="G7" s="214" t="s">
        <v>130</v>
      </c>
    </row>
    <row r="8" spans="2:7" ht="19">
      <c r="B8" s="215" t="s">
        <v>131</v>
      </c>
      <c r="C8" s="215" t="s">
        <v>132</v>
      </c>
      <c r="D8" s="215" t="s">
        <v>133</v>
      </c>
      <c r="E8" s="215" t="s">
        <v>134</v>
      </c>
      <c r="F8" s="215" t="s">
        <v>135</v>
      </c>
      <c r="G8" s="215" t="s">
        <v>136</v>
      </c>
    </row>
    <row r="9" spans="2:7" ht="19">
      <c r="B9" s="215" t="s">
        <v>137</v>
      </c>
      <c r="C9" s="215" t="s">
        <v>132</v>
      </c>
      <c r="D9" s="215" t="s">
        <v>138</v>
      </c>
      <c r="E9" s="215" t="s">
        <v>139</v>
      </c>
      <c r="F9" s="215" t="s">
        <v>135</v>
      </c>
      <c r="G9" s="215" t="s">
        <v>136</v>
      </c>
    </row>
    <row r="10" spans="2:7" ht="22" customHeight="1">
      <c r="B10" s="215" t="s">
        <v>140</v>
      </c>
      <c r="C10" s="215" t="s">
        <v>132</v>
      </c>
      <c r="D10" s="215" t="s">
        <v>141</v>
      </c>
      <c r="E10" s="215" t="s">
        <v>139</v>
      </c>
      <c r="F10" s="215" t="s">
        <v>135</v>
      </c>
      <c r="G10" s="215" t="s">
        <v>136</v>
      </c>
    </row>
    <row r="11" spans="2:7" ht="19">
      <c r="B11" s="215" t="s">
        <v>142</v>
      </c>
      <c r="C11" s="215" t="s">
        <v>132</v>
      </c>
      <c r="D11" s="215" t="s">
        <v>143</v>
      </c>
      <c r="E11" s="215" t="s">
        <v>139</v>
      </c>
      <c r="F11" s="215" t="s">
        <v>135</v>
      </c>
      <c r="G11" s="215" t="s">
        <v>136</v>
      </c>
    </row>
    <row r="12" spans="2:7" ht="19">
      <c r="B12" s="215" t="s">
        <v>144</v>
      </c>
      <c r="C12" s="215" t="s">
        <v>132</v>
      </c>
      <c r="D12" s="215" t="s">
        <v>145</v>
      </c>
      <c r="E12" s="215" t="s">
        <v>146</v>
      </c>
      <c r="F12" s="215" t="s">
        <v>147</v>
      </c>
      <c r="G12" s="215" t="s">
        <v>148</v>
      </c>
    </row>
    <row r="13" spans="2:7" ht="19">
      <c r="B13" s="215" t="s">
        <v>149</v>
      </c>
      <c r="C13" s="215" t="s">
        <v>132</v>
      </c>
      <c r="D13" s="215" t="s">
        <v>150</v>
      </c>
      <c r="E13" s="215" t="s">
        <v>134</v>
      </c>
      <c r="F13" s="215" t="s">
        <v>135</v>
      </c>
      <c r="G13" s="215" t="s">
        <v>151</v>
      </c>
    </row>
    <row r="14" spans="2:7" ht="19">
      <c r="B14" s="215" t="s">
        <v>152</v>
      </c>
      <c r="C14" s="215" t="s">
        <v>132</v>
      </c>
      <c r="D14" s="215" t="s">
        <v>153</v>
      </c>
      <c r="E14" s="215" t="s">
        <v>154</v>
      </c>
      <c r="F14" s="215" t="s">
        <v>147</v>
      </c>
      <c r="G14" s="215" t="s">
        <v>136</v>
      </c>
    </row>
    <row r="15" spans="2:7" ht="19">
      <c r="B15" s="215" t="s">
        <v>155</v>
      </c>
      <c r="C15" s="215" t="s">
        <v>132</v>
      </c>
      <c r="D15" s="215" t="s">
        <v>156</v>
      </c>
      <c r="E15" s="215" t="s">
        <v>154</v>
      </c>
      <c r="F15" s="215" t="s">
        <v>157</v>
      </c>
      <c r="G15" s="215" t="s">
        <v>136</v>
      </c>
    </row>
    <row r="16" spans="2:7" ht="19">
      <c r="B16" s="215" t="s">
        <v>158</v>
      </c>
      <c r="C16" s="215" t="s">
        <v>132</v>
      </c>
      <c r="D16" s="215" t="s">
        <v>159</v>
      </c>
      <c r="E16" s="215" t="s">
        <v>160</v>
      </c>
      <c r="F16" s="215" t="s">
        <v>161</v>
      </c>
      <c r="G16" s="215"/>
    </row>
    <row r="17" spans="2:16" ht="19">
      <c r="B17" s="215" t="s">
        <v>162</v>
      </c>
      <c r="C17" s="215" t="s">
        <v>132</v>
      </c>
      <c r="D17" s="215"/>
      <c r="E17" s="215" t="s">
        <v>163</v>
      </c>
      <c r="F17" s="215"/>
      <c r="G17" s="215"/>
    </row>
    <row r="18" spans="2:16" ht="19">
      <c r="B18" s="215" t="s">
        <v>164</v>
      </c>
      <c r="C18" s="215" t="s">
        <v>132</v>
      </c>
      <c r="D18" s="215"/>
      <c r="E18" s="215" t="s">
        <v>160</v>
      </c>
      <c r="F18" s="215" t="s">
        <v>165</v>
      </c>
      <c r="G18" s="215"/>
    </row>
    <row r="19" spans="2:16" ht="19">
      <c r="B19" s="215" t="s">
        <v>166</v>
      </c>
      <c r="C19" s="215" t="s">
        <v>132</v>
      </c>
      <c r="D19" s="215" t="s">
        <v>167</v>
      </c>
      <c r="E19" s="215" t="s">
        <v>134</v>
      </c>
      <c r="F19" s="215" t="s">
        <v>135</v>
      </c>
      <c r="G19" s="216"/>
    </row>
    <row r="20" spans="2:16" ht="19">
      <c r="B20" s="215" t="s">
        <v>168</v>
      </c>
      <c r="C20" s="215" t="s">
        <v>132</v>
      </c>
      <c r="D20" s="215" t="s">
        <v>169</v>
      </c>
      <c r="E20" s="215" t="s">
        <v>170</v>
      </c>
      <c r="F20" s="215" t="s">
        <v>171</v>
      </c>
      <c r="G20" s="215" t="s">
        <v>148</v>
      </c>
    </row>
    <row r="21" spans="2:16" ht="19" customHeight="1">
      <c r="B21" s="215" t="s">
        <v>172</v>
      </c>
      <c r="C21" s="215" t="s">
        <v>132</v>
      </c>
      <c r="D21" s="215" t="s">
        <v>173</v>
      </c>
      <c r="E21" s="215" t="s">
        <v>134</v>
      </c>
      <c r="F21" s="215" t="s">
        <v>135</v>
      </c>
      <c r="G21" s="216"/>
      <c r="J21" s="337" t="s">
        <v>174</v>
      </c>
      <c r="K21" s="338"/>
      <c r="L21" s="338"/>
      <c r="M21" s="338"/>
      <c r="N21" s="338"/>
      <c r="O21" s="338"/>
      <c r="P21" s="339"/>
    </row>
    <row r="22" spans="2:16" ht="19">
      <c r="B22" s="215" t="s">
        <v>175</v>
      </c>
      <c r="C22" s="215" t="s">
        <v>132</v>
      </c>
      <c r="D22" s="215"/>
      <c r="E22" s="215" t="s">
        <v>176</v>
      </c>
      <c r="F22" s="215" t="s">
        <v>177</v>
      </c>
      <c r="G22" s="215" t="s">
        <v>178</v>
      </c>
    </row>
    <row r="23" spans="2:16" ht="19">
      <c r="B23" s="215" t="s">
        <v>179</v>
      </c>
      <c r="C23" s="215" t="s">
        <v>132</v>
      </c>
      <c r="D23" s="312" t="s">
        <v>180</v>
      </c>
      <c r="E23" s="312" t="s">
        <v>176</v>
      </c>
      <c r="F23" s="312"/>
      <c r="G23" s="312" t="s">
        <v>181</v>
      </c>
    </row>
    <row r="24" spans="2:16" ht="21">
      <c r="B24" s="215" t="s">
        <v>182</v>
      </c>
      <c r="C24" s="215" t="s">
        <v>132</v>
      </c>
      <c r="D24" s="310"/>
      <c r="E24" s="215" t="s">
        <v>176</v>
      </c>
      <c r="F24" s="311" t="s">
        <v>177</v>
      </c>
      <c r="G24" s="215" t="s">
        <v>178</v>
      </c>
    </row>
    <row r="25" spans="2:16" ht="21">
      <c r="B25" s="24"/>
      <c r="C25" s="24"/>
      <c r="D25" s="24"/>
      <c r="E25" s="24"/>
      <c r="F25" s="24"/>
    </row>
    <row r="26" spans="2:16" ht="21">
      <c r="B26" s="24"/>
      <c r="C26" s="24"/>
      <c r="D26" s="24"/>
      <c r="E26" s="24"/>
      <c r="F26" s="24"/>
    </row>
    <row r="27" spans="2:16" ht="21">
      <c r="B27" s="24"/>
      <c r="C27" s="24"/>
      <c r="D27" s="24"/>
      <c r="E27" s="24"/>
      <c r="F27" s="24"/>
    </row>
    <row r="28" spans="2:16" ht="21">
      <c r="B28" s="24"/>
      <c r="C28" s="24"/>
      <c r="D28" s="24"/>
      <c r="E28" s="24"/>
      <c r="F28" s="24"/>
    </row>
    <row r="29" spans="2:16" ht="21">
      <c r="B29" s="24"/>
      <c r="C29" s="24"/>
      <c r="D29" s="24"/>
      <c r="E29" s="24"/>
      <c r="F29" s="24"/>
    </row>
    <row r="30" spans="2:16" ht="21">
      <c r="B30" s="24"/>
      <c r="C30" s="24"/>
      <c r="D30" s="24"/>
      <c r="E30" s="24"/>
      <c r="F30" s="24"/>
    </row>
    <row r="31" spans="2:16" ht="21">
      <c r="B31" s="24"/>
      <c r="C31" s="24"/>
      <c r="D31" s="24"/>
      <c r="E31" s="24"/>
      <c r="F31" s="24"/>
    </row>
    <row r="32" spans="2:16" ht="21">
      <c r="B32" s="24"/>
      <c r="C32" s="24"/>
      <c r="D32" s="24"/>
      <c r="E32" s="24"/>
      <c r="F32" s="24"/>
    </row>
    <row r="33" spans="2:6" ht="21">
      <c r="B33" s="24"/>
      <c r="C33" s="24"/>
      <c r="D33" s="24"/>
      <c r="E33" s="24"/>
      <c r="F33" s="24"/>
    </row>
    <row r="34" spans="2:6" ht="21">
      <c r="B34" s="24"/>
      <c r="C34" s="24"/>
      <c r="D34" s="24"/>
      <c r="E34" s="24"/>
      <c r="F34" s="24"/>
    </row>
    <row r="35" spans="2:6" ht="21">
      <c r="B35" s="24"/>
      <c r="C35" s="24"/>
      <c r="D35" s="24"/>
      <c r="E35" s="24"/>
      <c r="F35" s="24"/>
    </row>
    <row r="36" spans="2:6" ht="21">
      <c r="B36" s="24"/>
      <c r="C36" s="24"/>
      <c r="D36" s="24"/>
      <c r="E36" s="24"/>
      <c r="F36" s="24"/>
    </row>
    <row r="37" spans="2:6" ht="21">
      <c r="B37" s="24"/>
      <c r="C37" s="24"/>
      <c r="D37" s="24"/>
      <c r="E37" s="24"/>
      <c r="F37" s="24"/>
    </row>
    <row r="38" spans="2:6" ht="21">
      <c r="B38" s="24"/>
      <c r="C38" s="24"/>
      <c r="D38" s="24"/>
      <c r="E38" s="24"/>
      <c r="F38" s="24"/>
    </row>
    <row r="39" spans="2:6" ht="21">
      <c r="B39" s="24"/>
      <c r="C39" s="24"/>
      <c r="D39" s="24"/>
      <c r="E39" s="24"/>
      <c r="F39" s="24"/>
    </row>
    <row r="40" spans="2:6" ht="21">
      <c r="B40" s="24"/>
      <c r="C40" s="24"/>
      <c r="D40" s="24"/>
      <c r="E40" s="24"/>
      <c r="F40" s="24"/>
    </row>
    <row r="41" spans="2:6" ht="21">
      <c r="B41" s="24"/>
      <c r="C41" s="24"/>
      <c r="D41" s="24"/>
      <c r="E41" s="24"/>
      <c r="F41" s="24"/>
    </row>
    <row r="42" spans="2:6" ht="21">
      <c r="B42" s="24"/>
      <c r="C42" s="24"/>
      <c r="D42" s="24"/>
      <c r="E42" s="24"/>
      <c r="F42" s="24"/>
    </row>
    <row r="43" spans="2:6" ht="21">
      <c r="B43" s="24"/>
      <c r="C43" s="24"/>
      <c r="D43" s="24"/>
      <c r="E43" s="24"/>
      <c r="F43" s="24"/>
    </row>
    <row r="44" spans="2:6" ht="21">
      <c r="B44" s="24"/>
      <c r="C44" s="24"/>
      <c r="D44" s="24"/>
      <c r="E44" s="24"/>
      <c r="F44" s="24"/>
    </row>
    <row r="45" spans="2:6" ht="21">
      <c r="B45" s="24"/>
      <c r="C45" s="24"/>
      <c r="D45" s="24"/>
      <c r="E45" s="24"/>
      <c r="F45" s="24"/>
    </row>
    <row r="46" spans="2:6" ht="21">
      <c r="B46" s="24"/>
      <c r="C46" s="24"/>
      <c r="D46" s="24"/>
      <c r="E46" s="24"/>
      <c r="F46" s="24"/>
    </row>
    <row r="47" spans="2:6" ht="21">
      <c r="B47" s="24"/>
      <c r="C47" s="24"/>
      <c r="D47" s="24"/>
      <c r="E47" s="24"/>
      <c r="F47" s="24"/>
    </row>
    <row r="48" spans="2:6" ht="21">
      <c r="B48" s="24"/>
      <c r="C48" s="24"/>
      <c r="D48" s="24"/>
      <c r="E48" s="24"/>
      <c r="F48" s="24"/>
    </row>
    <row r="49" spans="2:6" ht="21">
      <c r="B49" s="24"/>
      <c r="C49" s="24"/>
      <c r="D49" s="24"/>
      <c r="E49" s="24"/>
      <c r="F49" s="24"/>
    </row>
    <row r="50" spans="2:6" ht="21">
      <c r="B50" s="24"/>
      <c r="C50" s="24"/>
      <c r="D50" s="24"/>
      <c r="E50" s="24"/>
      <c r="F50" s="24"/>
    </row>
    <row r="51" spans="2:6" ht="21">
      <c r="B51" s="24"/>
      <c r="C51" s="24"/>
      <c r="D51" s="24"/>
      <c r="E51" s="24"/>
      <c r="F51" s="24"/>
    </row>
    <row r="52" spans="2:6" ht="21">
      <c r="B52" s="24"/>
      <c r="C52" s="24"/>
      <c r="D52" s="24"/>
      <c r="E52" s="24"/>
      <c r="F52" s="24"/>
    </row>
    <row r="53" spans="2:6" ht="21">
      <c r="B53" s="24"/>
      <c r="C53" s="24"/>
      <c r="D53" s="24"/>
      <c r="E53" s="24"/>
      <c r="F53" s="24"/>
    </row>
    <row r="54" spans="2:6" ht="21">
      <c r="B54" s="24"/>
      <c r="C54" s="24"/>
      <c r="D54" s="24"/>
      <c r="E54" s="24"/>
      <c r="F54" s="24"/>
    </row>
    <row r="55" spans="2:6" ht="21">
      <c r="B55" s="24"/>
      <c r="C55" s="24"/>
      <c r="D55" s="24"/>
      <c r="E55" s="24"/>
      <c r="F55" s="24"/>
    </row>
    <row r="56" spans="2:6" ht="21">
      <c r="B56" s="24"/>
      <c r="C56" s="24"/>
      <c r="D56" s="24"/>
      <c r="E56" s="24"/>
      <c r="F56" s="24"/>
    </row>
    <row r="57" spans="2:6" ht="21">
      <c r="B57" s="24"/>
      <c r="C57" s="24"/>
      <c r="D57" s="24"/>
      <c r="E57" s="24"/>
      <c r="F57" s="24"/>
    </row>
    <row r="58" spans="2:6" ht="21">
      <c r="B58" s="24"/>
      <c r="C58" s="24"/>
      <c r="D58" s="24"/>
      <c r="E58" s="24"/>
      <c r="F58" s="24"/>
    </row>
    <row r="59" spans="2:6" ht="21">
      <c r="B59" s="24"/>
      <c r="C59" s="24"/>
      <c r="D59" s="24"/>
      <c r="E59" s="24"/>
      <c r="F59" s="24"/>
    </row>
    <row r="60" spans="2:6" ht="21">
      <c r="B60" s="24"/>
      <c r="C60" s="24"/>
      <c r="D60" s="24"/>
      <c r="E60" s="24"/>
      <c r="F60" s="24"/>
    </row>
    <row r="61" spans="2:6" ht="21">
      <c r="B61" s="24"/>
      <c r="C61" s="24"/>
      <c r="D61" s="24"/>
      <c r="E61" s="24"/>
      <c r="F61" s="24"/>
    </row>
    <row r="62" spans="2:6" ht="21">
      <c r="B62" s="24"/>
      <c r="C62" s="24"/>
      <c r="D62" s="24"/>
      <c r="E62" s="24"/>
      <c r="F62" s="24"/>
    </row>
    <row r="63" spans="2:6" ht="21">
      <c r="B63" s="24"/>
      <c r="C63" s="24"/>
      <c r="D63" s="24"/>
      <c r="E63" s="24"/>
      <c r="F63" s="24"/>
    </row>
    <row r="64" spans="2:6" ht="21">
      <c r="B64" s="24"/>
      <c r="C64" s="24"/>
      <c r="D64" s="24"/>
      <c r="E64" s="24"/>
      <c r="F64" s="24"/>
    </row>
    <row r="65" spans="2:6" ht="21">
      <c r="B65" s="24"/>
      <c r="C65" s="24"/>
      <c r="D65" s="24"/>
      <c r="E65" s="24"/>
      <c r="F65" s="24"/>
    </row>
    <row r="66" spans="2:6" ht="21">
      <c r="B66" s="24"/>
      <c r="C66" s="24"/>
      <c r="D66" s="24"/>
      <c r="E66" s="24"/>
      <c r="F66" s="24"/>
    </row>
    <row r="67" spans="2:6" ht="21">
      <c r="B67" s="24"/>
      <c r="C67" s="24"/>
      <c r="D67" s="24"/>
      <c r="E67" s="24"/>
      <c r="F67" s="24"/>
    </row>
    <row r="68" spans="2:6" ht="21">
      <c r="B68" s="24"/>
      <c r="C68" s="24"/>
      <c r="D68" s="24"/>
      <c r="E68" s="24"/>
      <c r="F68" s="24"/>
    </row>
    <row r="69" spans="2:6" ht="21">
      <c r="B69" s="24"/>
      <c r="C69" s="24"/>
      <c r="D69" s="24"/>
      <c r="E69" s="24"/>
      <c r="F69" s="24"/>
    </row>
    <row r="70" spans="2:6" ht="21">
      <c r="B70" s="24"/>
      <c r="C70" s="24"/>
      <c r="D70" s="24"/>
      <c r="E70" s="24"/>
      <c r="F70" s="24"/>
    </row>
    <row r="71" spans="2:6" ht="21">
      <c r="B71" s="24"/>
      <c r="C71" s="24"/>
      <c r="D71" s="24"/>
      <c r="E71" s="24"/>
      <c r="F71" s="24"/>
    </row>
    <row r="72" spans="2:6" ht="21">
      <c r="B72" s="24"/>
      <c r="C72" s="24"/>
      <c r="D72" s="24"/>
      <c r="E72" s="24"/>
      <c r="F72" s="24"/>
    </row>
    <row r="73" spans="2:6" ht="21">
      <c r="B73" s="24"/>
      <c r="C73" s="24"/>
      <c r="D73" s="24"/>
      <c r="E73" s="24"/>
      <c r="F73" s="24"/>
    </row>
    <row r="74" spans="2:6" ht="21">
      <c r="B74" s="24"/>
      <c r="C74" s="24"/>
      <c r="D74" s="24"/>
      <c r="E74" s="24"/>
      <c r="F74" s="24"/>
    </row>
    <row r="75" spans="2:6" ht="21">
      <c r="B75" s="24"/>
      <c r="C75" s="24"/>
      <c r="D75" s="24"/>
      <c r="E75" s="24"/>
      <c r="F75" s="24"/>
    </row>
    <row r="76" spans="2:6" ht="21">
      <c r="B76" s="24"/>
      <c r="C76" s="24"/>
      <c r="D76" s="24"/>
      <c r="E76" s="24"/>
      <c r="F76" s="24"/>
    </row>
    <row r="77" spans="2:6" ht="21">
      <c r="B77" s="24"/>
      <c r="C77" s="24"/>
      <c r="D77" s="24"/>
      <c r="E77" s="24"/>
      <c r="F77" s="24"/>
    </row>
    <row r="78" spans="2:6" ht="21">
      <c r="B78" s="24"/>
      <c r="C78" s="24"/>
      <c r="D78" s="24"/>
      <c r="E78" s="24"/>
      <c r="F78" s="24"/>
    </row>
    <row r="79" spans="2:6" ht="21">
      <c r="B79" s="24"/>
      <c r="C79" s="24"/>
      <c r="D79" s="24"/>
      <c r="E79" s="24"/>
      <c r="F79" s="24"/>
    </row>
    <row r="80" spans="2:6" ht="21">
      <c r="B80" s="24"/>
      <c r="C80" s="24"/>
      <c r="D80" s="24"/>
      <c r="E80" s="24"/>
      <c r="F80" s="24"/>
    </row>
    <row r="81" spans="2:6" ht="21">
      <c r="B81" s="24"/>
      <c r="C81" s="24"/>
      <c r="D81" s="24"/>
      <c r="E81" s="24"/>
      <c r="F81" s="24"/>
    </row>
    <row r="82" spans="2:6" ht="21">
      <c r="B82" s="24"/>
      <c r="C82" s="24"/>
      <c r="D82" s="24"/>
      <c r="E82" s="24"/>
      <c r="F82" s="24"/>
    </row>
    <row r="83" spans="2:6" ht="21">
      <c r="B83" s="24"/>
      <c r="C83" s="24"/>
      <c r="D83" s="24"/>
      <c r="E83" s="24"/>
      <c r="F83" s="24"/>
    </row>
    <row r="84" spans="2:6" ht="21">
      <c r="B84" s="24"/>
      <c r="C84" s="24"/>
      <c r="D84" s="24"/>
      <c r="E84" s="24"/>
      <c r="F84" s="24"/>
    </row>
    <row r="85" spans="2:6" ht="21">
      <c r="B85" s="24"/>
      <c r="C85" s="24"/>
      <c r="D85" s="24"/>
      <c r="E85" s="24"/>
      <c r="F85" s="24"/>
    </row>
    <row r="86" spans="2:6" ht="21">
      <c r="B86" s="24"/>
      <c r="C86" s="24"/>
      <c r="D86" s="24"/>
      <c r="E86" s="24"/>
      <c r="F86" s="24"/>
    </row>
    <row r="87" spans="2:6" ht="21">
      <c r="B87" s="24"/>
      <c r="C87" s="24"/>
      <c r="D87" s="24"/>
      <c r="E87" s="24"/>
      <c r="F87" s="24"/>
    </row>
    <row r="88" spans="2:6" ht="21">
      <c r="B88" s="24"/>
      <c r="C88" s="24"/>
      <c r="D88" s="24"/>
      <c r="E88" s="24"/>
      <c r="F88" s="24"/>
    </row>
    <row r="89" spans="2:6" ht="21">
      <c r="B89" s="24"/>
      <c r="C89" s="24"/>
      <c r="D89" s="24"/>
      <c r="E89" s="24"/>
      <c r="F89" s="24"/>
    </row>
    <row r="90" spans="2:6" ht="21">
      <c r="B90" s="24"/>
      <c r="C90" s="24"/>
      <c r="D90" s="24"/>
      <c r="E90" s="24"/>
      <c r="F90" s="24"/>
    </row>
    <row r="91" spans="2:6" ht="21">
      <c r="B91" s="24"/>
      <c r="C91" s="24"/>
      <c r="D91" s="24"/>
      <c r="E91" s="24"/>
      <c r="F91" s="24"/>
    </row>
    <row r="92" spans="2:6" ht="21">
      <c r="B92" s="24"/>
      <c r="C92" s="24"/>
      <c r="D92" s="24"/>
      <c r="E92" s="24"/>
      <c r="F92" s="24"/>
    </row>
    <row r="93" spans="2:6" ht="21">
      <c r="B93" s="24"/>
      <c r="C93" s="24"/>
      <c r="D93" s="24"/>
      <c r="E93" s="24"/>
      <c r="F93" s="24"/>
    </row>
    <row r="94" spans="2:6" ht="21">
      <c r="B94" s="24"/>
      <c r="C94" s="24"/>
      <c r="D94" s="24"/>
      <c r="E94" s="24"/>
      <c r="F94" s="24"/>
    </row>
    <row r="95" spans="2:6" ht="21">
      <c r="B95" s="24"/>
      <c r="C95" s="24"/>
      <c r="D95" s="24"/>
      <c r="E95" s="24"/>
      <c r="F95" s="24"/>
    </row>
    <row r="96" spans="2:6" ht="21">
      <c r="B96" s="24"/>
      <c r="C96" s="24"/>
      <c r="D96" s="24"/>
      <c r="E96" s="24"/>
      <c r="F96" s="24"/>
    </row>
    <row r="97" spans="2:6" ht="21">
      <c r="B97" s="24"/>
      <c r="C97" s="24"/>
      <c r="D97" s="24"/>
      <c r="E97" s="24"/>
      <c r="F97" s="24"/>
    </row>
    <row r="98" spans="2:6" ht="21">
      <c r="B98" s="24"/>
      <c r="C98" s="24"/>
      <c r="D98" s="24"/>
      <c r="E98" s="24"/>
      <c r="F98" s="24"/>
    </row>
    <row r="99" spans="2:6" ht="21">
      <c r="B99" s="24"/>
      <c r="C99" s="24"/>
      <c r="D99" s="24"/>
      <c r="E99" s="24"/>
      <c r="F99" s="24"/>
    </row>
    <row r="100" spans="2:6" ht="21">
      <c r="B100" s="24"/>
      <c r="C100" s="24"/>
      <c r="D100" s="24"/>
      <c r="E100" s="24"/>
      <c r="F100" s="24"/>
    </row>
    <row r="101" spans="2:6" ht="21">
      <c r="B101" s="24"/>
      <c r="C101" s="24"/>
      <c r="D101" s="24"/>
      <c r="E101" s="24"/>
      <c r="F101" s="24"/>
    </row>
    <row r="102" spans="2:6" ht="21">
      <c r="B102" s="24"/>
      <c r="C102" s="24"/>
      <c r="D102" s="24"/>
      <c r="E102" s="24"/>
      <c r="F102" s="24"/>
    </row>
    <row r="103" spans="2:6" ht="21">
      <c r="B103" s="24"/>
      <c r="C103" s="24"/>
      <c r="D103" s="24"/>
      <c r="E103" s="24"/>
      <c r="F103" s="24"/>
    </row>
    <row r="104" spans="2:6" ht="21">
      <c r="B104" s="24"/>
      <c r="C104" s="24"/>
      <c r="D104" s="24"/>
      <c r="E104" s="24"/>
      <c r="F104" s="24"/>
    </row>
    <row r="105" spans="2:6" ht="21">
      <c r="B105" s="24"/>
      <c r="C105" s="24"/>
      <c r="D105" s="24"/>
      <c r="E105" s="24"/>
      <c r="F105" s="24"/>
    </row>
    <row r="106" spans="2:6" ht="21">
      <c r="B106" s="24"/>
      <c r="C106" s="24"/>
      <c r="D106" s="24"/>
      <c r="E106" s="24"/>
      <c r="F106" s="24"/>
    </row>
    <row r="107" spans="2:6" ht="21">
      <c r="B107" s="24"/>
      <c r="C107" s="24"/>
      <c r="D107" s="24"/>
      <c r="E107" s="24"/>
      <c r="F107" s="24"/>
    </row>
    <row r="108" spans="2:6" ht="21">
      <c r="B108" s="24"/>
      <c r="C108" s="24"/>
      <c r="D108" s="24"/>
      <c r="E108" s="24"/>
      <c r="F108" s="24"/>
    </row>
    <row r="109" spans="2:6" ht="21">
      <c r="B109" s="24"/>
      <c r="C109" s="24"/>
      <c r="D109" s="24"/>
      <c r="E109" s="24"/>
      <c r="F109" s="24"/>
    </row>
    <row r="110" spans="2:6" ht="21">
      <c r="B110" s="24"/>
      <c r="C110" s="24"/>
      <c r="D110" s="24"/>
      <c r="E110" s="24"/>
      <c r="F110" s="24"/>
    </row>
    <row r="111" spans="2:6" ht="21">
      <c r="B111" s="24"/>
      <c r="C111" s="24"/>
      <c r="D111" s="24"/>
      <c r="E111" s="24"/>
      <c r="F111" s="24"/>
    </row>
    <row r="112" spans="2:6" ht="21">
      <c r="B112" s="24"/>
      <c r="C112" s="24"/>
      <c r="D112" s="24"/>
      <c r="E112" s="24"/>
      <c r="F112" s="24"/>
    </row>
    <row r="113" spans="2:6" ht="21">
      <c r="B113" s="24"/>
      <c r="C113" s="24"/>
      <c r="D113" s="24"/>
      <c r="E113" s="24"/>
      <c r="F113" s="24"/>
    </row>
    <row r="114" spans="2:6" ht="21">
      <c r="B114" s="24"/>
      <c r="C114" s="24"/>
      <c r="D114" s="24"/>
      <c r="E114" s="24"/>
      <c r="F114" s="24"/>
    </row>
    <row r="115" spans="2:6" ht="21">
      <c r="B115" s="24"/>
      <c r="C115" s="24"/>
      <c r="D115" s="24"/>
      <c r="E115" s="24"/>
      <c r="F115" s="24"/>
    </row>
    <row r="116" spans="2:6" ht="21">
      <c r="B116" s="24"/>
      <c r="C116" s="24"/>
      <c r="D116" s="24"/>
      <c r="E116" s="24"/>
      <c r="F116" s="24"/>
    </row>
    <row r="117" spans="2:6" ht="21">
      <c r="B117" s="24"/>
      <c r="C117" s="24"/>
      <c r="D117" s="24"/>
      <c r="E117" s="24"/>
      <c r="F117" s="24"/>
    </row>
    <row r="118" spans="2:6" ht="21">
      <c r="B118" s="24"/>
      <c r="C118" s="24"/>
      <c r="D118" s="24"/>
      <c r="E118" s="24"/>
      <c r="F118" s="24"/>
    </row>
    <row r="119" spans="2:6" ht="21">
      <c r="B119" s="24"/>
      <c r="C119" s="24"/>
      <c r="D119" s="24"/>
      <c r="E119" s="24"/>
      <c r="F119" s="24"/>
    </row>
    <row r="120" spans="2:6" ht="21">
      <c r="B120" s="24"/>
      <c r="C120" s="24"/>
      <c r="D120" s="24"/>
      <c r="E120" s="24"/>
      <c r="F120" s="24"/>
    </row>
    <row r="121" spans="2:6" ht="21">
      <c r="B121" s="24"/>
      <c r="C121" s="24"/>
      <c r="D121" s="24"/>
      <c r="E121" s="24"/>
      <c r="F121" s="24"/>
    </row>
    <row r="122" spans="2:6" ht="21">
      <c r="B122" s="24"/>
      <c r="C122" s="24"/>
      <c r="D122" s="24"/>
      <c r="E122" s="24"/>
      <c r="F122" s="24"/>
    </row>
    <row r="123" spans="2:6" ht="21">
      <c r="B123" s="24"/>
      <c r="C123" s="24"/>
      <c r="D123" s="24"/>
      <c r="E123" s="24"/>
      <c r="F123" s="24"/>
    </row>
    <row r="124" spans="2:6" ht="21">
      <c r="B124" s="24"/>
      <c r="C124" s="24"/>
      <c r="D124" s="24"/>
      <c r="E124" s="24"/>
      <c r="F124" s="24"/>
    </row>
    <row r="125" spans="2:6" ht="21">
      <c r="B125" s="24"/>
      <c r="C125" s="24"/>
      <c r="D125" s="24"/>
      <c r="E125" s="24"/>
      <c r="F125" s="24"/>
    </row>
    <row r="126" spans="2:6" ht="21">
      <c r="B126" s="24"/>
      <c r="C126" s="24"/>
      <c r="D126" s="24"/>
      <c r="E126" s="24"/>
      <c r="F126" s="24"/>
    </row>
    <row r="127" spans="2:6" ht="21">
      <c r="B127" s="24"/>
      <c r="C127" s="24"/>
      <c r="D127" s="24"/>
      <c r="E127" s="24"/>
      <c r="F127" s="24"/>
    </row>
    <row r="128" spans="2:6" ht="21">
      <c r="B128" s="24"/>
      <c r="C128" s="24"/>
      <c r="D128" s="24"/>
      <c r="E128" s="24"/>
      <c r="F128" s="24"/>
    </row>
    <row r="129" spans="2:6" ht="21">
      <c r="B129" s="24"/>
      <c r="C129" s="24"/>
      <c r="D129" s="24"/>
      <c r="E129" s="24"/>
      <c r="F129" s="24"/>
    </row>
    <row r="130" spans="2:6" ht="21">
      <c r="B130" s="24"/>
      <c r="C130" s="24"/>
      <c r="D130" s="24"/>
      <c r="E130" s="24"/>
      <c r="F130" s="24"/>
    </row>
    <row r="131" spans="2:6" ht="21">
      <c r="B131" s="24"/>
      <c r="C131" s="24"/>
      <c r="D131" s="24"/>
      <c r="E131" s="24"/>
      <c r="F131" s="24"/>
    </row>
    <row r="132" spans="2:6" ht="21">
      <c r="B132" s="24"/>
      <c r="C132" s="24"/>
      <c r="D132" s="24"/>
      <c r="E132" s="24"/>
      <c r="F132" s="24"/>
    </row>
    <row r="133" spans="2:6" ht="21">
      <c r="B133" s="24"/>
      <c r="C133" s="24"/>
      <c r="D133" s="24"/>
      <c r="E133" s="24"/>
      <c r="F133" s="24"/>
    </row>
    <row r="134" spans="2:6" ht="21">
      <c r="B134" s="24"/>
      <c r="C134" s="24"/>
      <c r="D134" s="24"/>
      <c r="E134" s="24"/>
      <c r="F134" s="24"/>
    </row>
    <row r="135" spans="2:6" ht="21">
      <c r="B135" s="24"/>
      <c r="C135" s="24"/>
      <c r="D135" s="24"/>
      <c r="E135" s="24"/>
      <c r="F135" s="24"/>
    </row>
    <row r="136" spans="2:6" ht="21">
      <c r="B136" s="24"/>
      <c r="C136" s="24"/>
      <c r="D136" s="24"/>
      <c r="E136" s="24"/>
      <c r="F136" s="24"/>
    </row>
    <row r="137" spans="2:6" ht="21">
      <c r="B137" s="24"/>
      <c r="C137" s="24"/>
      <c r="D137" s="24"/>
      <c r="E137" s="24"/>
      <c r="F137" s="24"/>
    </row>
    <row r="138" spans="2:6" ht="21">
      <c r="B138" s="24"/>
      <c r="C138" s="24"/>
      <c r="D138" s="24"/>
      <c r="E138" s="24"/>
      <c r="F138" s="24"/>
    </row>
    <row r="139" spans="2:6" ht="21">
      <c r="B139" s="24"/>
      <c r="C139" s="24"/>
      <c r="D139" s="24"/>
      <c r="E139" s="24"/>
      <c r="F139" s="24"/>
    </row>
    <row r="140" spans="2:6" ht="21">
      <c r="B140" s="24"/>
      <c r="C140" s="24"/>
      <c r="D140" s="24"/>
      <c r="E140" s="24"/>
      <c r="F140" s="24"/>
    </row>
    <row r="141" spans="2:6" ht="21">
      <c r="B141" s="24"/>
      <c r="C141" s="24"/>
      <c r="D141" s="24"/>
      <c r="E141" s="24"/>
      <c r="F141" s="24"/>
    </row>
    <row r="142" spans="2:6" ht="21">
      <c r="B142" s="24"/>
      <c r="C142" s="24"/>
      <c r="D142" s="24"/>
      <c r="E142" s="24"/>
      <c r="F142" s="24"/>
    </row>
    <row r="143" spans="2:6" ht="21">
      <c r="B143" s="24"/>
      <c r="C143" s="24"/>
      <c r="D143" s="24"/>
      <c r="E143" s="24"/>
      <c r="F143" s="24"/>
    </row>
    <row r="144" spans="2:6" ht="21">
      <c r="B144" s="24"/>
      <c r="C144" s="24"/>
      <c r="D144" s="24"/>
      <c r="E144" s="24"/>
      <c r="F144" s="24"/>
    </row>
    <row r="145" spans="2:6" ht="21">
      <c r="B145" s="24"/>
      <c r="C145" s="24"/>
      <c r="D145" s="24"/>
      <c r="E145" s="24"/>
      <c r="F145" s="24"/>
    </row>
    <row r="146" spans="2:6" ht="21">
      <c r="B146" s="24"/>
      <c r="C146" s="24"/>
      <c r="D146" s="24"/>
      <c r="E146" s="24"/>
      <c r="F146" s="24"/>
    </row>
    <row r="147" spans="2:6" ht="21">
      <c r="B147" s="24"/>
      <c r="C147" s="24"/>
      <c r="D147" s="24"/>
      <c r="E147" s="24"/>
      <c r="F147" s="24"/>
    </row>
    <row r="148" spans="2:6" ht="21">
      <c r="B148" s="24"/>
      <c r="C148" s="24"/>
      <c r="D148" s="24"/>
      <c r="E148" s="24"/>
      <c r="F148" s="24"/>
    </row>
    <row r="149" spans="2:6" ht="21">
      <c r="B149" s="24"/>
      <c r="C149" s="24"/>
      <c r="D149" s="24"/>
      <c r="E149" s="24"/>
      <c r="F149" s="24"/>
    </row>
    <row r="150" spans="2:6" ht="21">
      <c r="B150" s="24"/>
      <c r="C150" s="24"/>
      <c r="D150" s="24"/>
      <c r="E150" s="24"/>
      <c r="F150" s="24"/>
    </row>
    <row r="151" spans="2:6" ht="21">
      <c r="B151" s="24"/>
      <c r="C151" s="24"/>
      <c r="D151" s="24"/>
      <c r="E151" s="24"/>
      <c r="F151" s="24"/>
    </row>
    <row r="152" spans="2:6" ht="21">
      <c r="B152" s="24"/>
      <c r="C152" s="24"/>
      <c r="D152" s="24"/>
      <c r="E152" s="24"/>
      <c r="F152" s="24"/>
    </row>
    <row r="153" spans="2:6" ht="21">
      <c r="B153" s="24"/>
      <c r="C153" s="24"/>
      <c r="D153" s="24"/>
      <c r="E153" s="24"/>
      <c r="F153" s="24"/>
    </row>
    <row r="154" spans="2:6" ht="21">
      <c r="B154" s="24"/>
      <c r="C154" s="24"/>
      <c r="D154" s="24"/>
      <c r="E154" s="24"/>
      <c r="F154" s="24"/>
    </row>
    <row r="155" spans="2:6" ht="21">
      <c r="B155" s="24"/>
      <c r="C155" s="24"/>
      <c r="D155" s="24"/>
      <c r="E155" s="24"/>
      <c r="F155" s="24"/>
    </row>
    <row r="156" spans="2:6" ht="21">
      <c r="B156" s="24"/>
      <c r="C156" s="24"/>
      <c r="D156" s="24"/>
      <c r="E156" s="24"/>
      <c r="F156" s="24"/>
    </row>
    <row r="157" spans="2:6" ht="21">
      <c r="B157" s="24"/>
      <c r="C157" s="24"/>
      <c r="D157" s="24"/>
      <c r="E157" s="24"/>
      <c r="F157" s="24"/>
    </row>
    <row r="158" spans="2:6" ht="21">
      <c r="B158" s="24"/>
      <c r="C158" s="24"/>
      <c r="D158" s="24"/>
      <c r="E158" s="24"/>
      <c r="F158" s="24"/>
    </row>
    <row r="159" spans="2:6" ht="21">
      <c r="B159" s="24"/>
      <c r="C159" s="24"/>
      <c r="D159" s="24"/>
      <c r="E159" s="24"/>
      <c r="F159" s="24"/>
    </row>
    <row r="160" spans="2:6" ht="21">
      <c r="B160" s="24"/>
      <c r="C160" s="24"/>
      <c r="D160" s="24"/>
      <c r="E160" s="24"/>
      <c r="F160" s="24"/>
    </row>
    <row r="161" spans="2:6" ht="21">
      <c r="B161" s="24"/>
      <c r="C161" s="24"/>
      <c r="D161" s="24"/>
      <c r="E161" s="24"/>
      <c r="F161" s="24"/>
    </row>
    <row r="162" spans="2:6" ht="21">
      <c r="B162" s="24"/>
      <c r="C162" s="24"/>
      <c r="D162" s="24"/>
      <c r="E162" s="24"/>
      <c r="F162" s="24"/>
    </row>
    <row r="163" spans="2:6" ht="21">
      <c r="B163" s="24"/>
      <c r="C163" s="24"/>
      <c r="D163" s="24"/>
      <c r="E163" s="24"/>
      <c r="F163" s="24"/>
    </row>
    <row r="164" spans="2:6" ht="21">
      <c r="B164" s="24"/>
      <c r="C164" s="24"/>
      <c r="D164" s="24"/>
      <c r="E164" s="24"/>
      <c r="F164" s="24"/>
    </row>
    <row r="165" spans="2:6" ht="21">
      <c r="B165" s="24"/>
      <c r="C165" s="24"/>
      <c r="D165" s="24"/>
      <c r="E165" s="24"/>
      <c r="F165" s="24"/>
    </row>
    <row r="166" spans="2:6" ht="21">
      <c r="B166" s="24"/>
      <c r="C166" s="24"/>
      <c r="D166" s="24"/>
      <c r="E166" s="24"/>
      <c r="F166" s="24"/>
    </row>
    <row r="167" spans="2:6" ht="21">
      <c r="B167" s="24"/>
      <c r="C167" s="24"/>
      <c r="D167" s="24"/>
      <c r="E167" s="24"/>
      <c r="F167" s="24"/>
    </row>
    <row r="168" spans="2:6" ht="21">
      <c r="B168" s="24"/>
      <c r="C168" s="24"/>
      <c r="D168" s="24"/>
      <c r="E168" s="24"/>
      <c r="F168" s="24"/>
    </row>
    <row r="169" spans="2:6" ht="21">
      <c r="B169" s="24"/>
      <c r="C169" s="24"/>
      <c r="D169" s="24"/>
      <c r="E169" s="24"/>
      <c r="F169" s="24"/>
    </row>
    <row r="170" spans="2:6" ht="21">
      <c r="B170" s="24"/>
      <c r="C170" s="24"/>
      <c r="D170" s="24"/>
      <c r="E170" s="24"/>
      <c r="F170" s="24"/>
    </row>
    <row r="171" spans="2:6" ht="21">
      <c r="B171" s="24"/>
      <c r="C171" s="24"/>
      <c r="D171" s="24"/>
      <c r="E171" s="24"/>
      <c r="F171" s="24"/>
    </row>
    <row r="172" spans="2:6" ht="21">
      <c r="B172" s="24"/>
      <c r="C172" s="24"/>
      <c r="D172" s="24"/>
      <c r="E172" s="24"/>
      <c r="F172" s="24"/>
    </row>
    <row r="173" spans="2:6" ht="21">
      <c r="B173" s="24"/>
      <c r="C173" s="24"/>
      <c r="D173" s="24"/>
      <c r="E173" s="24"/>
      <c r="F173" s="24"/>
    </row>
    <row r="174" spans="2:6" ht="21">
      <c r="B174" s="24"/>
      <c r="C174" s="24"/>
      <c r="D174" s="24"/>
      <c r="E174" s="24"/>
      <c r="F174" s="24"/>
    </row>
    <row r="175" spans="2:6" ht="21">
      <c r="B175" s="24"/>
      <c r="C175" s="24"/>
      <c r="D175" s="24"/>
      <c r="E175" s="24"/>
      <c r="F175" s="24"/>
    </row>
    <row r="176" spans="2:6" ht="21">
      <c r="B176" s="24"/>
      <c r="C176" s="24"/>
      <c r="D176" s="24"/>
      <c r="E176" s="24"/>
      <c r="F176" s="24"/>
    </row>
    <row r="177" spans="2:6" ht="21">
      <c r="B177" s="24"/>
      <c r="C177" s="24"/>
      <c r="D177" s="24"/>
      <c r="E177" s="24"/>
      <c r="F177" s="24"/>
    </row>
    <row r="178" spans="2:6" ht="21">
      <c r="B178" s="24"/>
      <c r="C178" s="24"/>
      <c r="D178" s="24"/>
      <c r="E178" s="24"/>
      <c r="F178" s="24"/>
    </row>
    <row r="179" spans="2:6" ht="21">
      <c r="B179" s="24"/>
      <c r="C179" s="24"/>
      <c r="D179" s="24"/>
      <c r="E179" s="24"/>
      <c r="F179" s="24"/>
    </row>
    <row r="180" spans="2:6" ht="21">
      <c r="B180" s="24"/>
      <c r="C180" s="24"/>
      <c r="D180" s="24"/>
      <c r="E180" s="24"/>
      <c r="F180" s="24"/>
    </row>
    <row r="181" spans="2:6" ht="21">
      <c r="B181" s="24"/>
      <c r="C181" s="24"/>
      <c r="D181" s="24"/>
      <c r="E181" s="24"/>
      <c r="F181" s="24"/>
    </row>
    <row r="182" spans="2:6" ht="21">
      <c r="B182" s="24"/>
      <c r="C182" s="24"/>
      <c r="D182" s="24"/>
      <c r="E182" s="24"/>
      <c r="F182" s="24"/>
    </row>
    <row r="183" spans="2:6" ht="21">
      <c r="B183" s="24"/>
      <c r="C183" s="24"/>
      <c r="D183" s="24"/>
      <c r="E183" s="24"/>
      <c r="F183" s="24"/>
    </row>
    <row r="184" spans="2:6" ht="21">
      <c r="B184" s="24"/>
      <c r="C184" s="24"/>
      <c r="D184" s="24"/>
      <c r="E184" s="24"/>
      <c r="F184" s="24"/>
    </row>
    <row r="185" spans="2:6" ht="21">
      <c r="B185" s="24"/>
      <c r="C185" s="24"/>
      <c r="D185" s="24"/>
      <c r="E185" s="24"/>
      <c r="F185" s="24"/>
    </row>
    <row r="186" spans="2:6" ht="21">
      <c r="B186" s="24"/>
      <c r="C186" s="24"/>
      <c r="D186" s="24"/>
      <c r="E186" s="24"/>
      <c r="F186" s="24"/>
    </row>
    <row r="187" spans="2:6" ht="21">
      <c r="B187" s="24"/>
      <c r="C187" s="24"/>
      <c r="D187" s="24"/>
      <c r="E187" s="24"/>
      <c r="F187" s="24"/>
    </row>
    <row r="188" spans="2:6" ht="21">
      <c r="B188" s="24"/>
      <c r="C188" s="24"/>
      <c r="D188" s="24"/>
      <c r="E188" s="24"/>
      <c r="F188" s="24"/>
    </row>
    <row r="189" spans="2:6" ht="21">
      <c r="B189" s="24"/>
      <c r="C189" s="24"/>
      <c r="D189" s="24"/>
      <c r="E189" s="24"/>
      <c r="F189" s="24"/>
    </row>
    <row r="190" spans="2:6" ht="21">
      <c r="B190" s="24"/>
      <c r="C190" s="24"/>
      <c r="D190" s="24"/>
      <c r="E190" s="24"/>
      <c r="F190" s="24"/>
    </row>
    <row r="191" spans="2:6" ht="21">
      <c r="B191" s="24"/>
      <c r="C191" s="24"/>
      <c r="D191" s="24"/>
      <c r="E191" s="24"/>
      <c r="F191" s="24"/>
    </row>
    <row r="192" spans="2:6" ht="21">
      <c r="B192" s="24"/>
      <c r="C192" s="24"/>
      <c r="D192" s="24"/>
      <c r="E192" s="24"/>
      <c r="F192" s="24"/>
    </row>
    <row r="193" spans="2:6" ht="21">
      <c r="B193" s="24"/>
      <c r="C193" s="24"/>
      <c r="D193" s="24"/>
      <c r="E193" s="24"/>
      <c r="F193" s="24"/>
    </row>
    <row r="194" spans="2:6" ht="21">
      <c r="B194" s="24"/>
      <c r="C194" s="24"/>
      <c r="D194" s="24"/>
      <c r="E194" s="24"/>
      <c r="F194" s="24"/>
    </row>
    <row r="195" spans="2:6" ht="21">
      <c r="B195" s="24"/>
      <c r="C195" s="24"/>
      <c r="D195" s="24"/>
      <c r="E195" s="24"/>
      <c r="F195" s="24"/>
    </row>
    <row r="196" spans="2:6" ht="21">
      <c r="B196" s="24"/>
      <c r="C196" s="24"/>
      <c r="D196" s="24"/>
      <c r="E196" s="24"/>
      <c r="F196" s="24"/>
    </row>
    <row r="197" spans="2:6" ht="21">
      <c r="B197" s="24"/>
      <c r="C197" s="24"/>
      <c r="D197" s="24"/>
      <c r="E197" s="24"/>
      <c r="F197" s="24"/>
    </row>
    <row r="198" spans="2:6" ht="21">
      <c r="B198" s="24"/>
      <c r="C198" s="24"/>
      <c r="D198" s="24"/>
      <c r="E198" s="24"/>
      <c r="F198" s="24"/>
    </row>
    <row r="199" spans="2:6" ht="21">
      <c r="B199" s="24"/>
      <c r="C199" s="24"/>
      <c r="D199" s="24"/>
      <c r="E199" s="24"/>
      <c r="F199" s="24"/>
    </row>
    <row r="200" spans="2:6" ht="21">
      <c r="B200" s="24"/>
      <c r="C200" s="24"/>
      <c r="D200" s="24"/>
      <c r="E200" s="24"/>
      <c r="F200" s="24"/>
    </row>
    <row r="201" spans="2:6" ht="21">
      <c r="B201" s="24"/>
      <c r="C201" s="24"/>
      <c r="D201" s="24"/>
      <c r="E201" s="24"/>
      <c r="F201" s="24"/>
    </row>
    <row r="202" spans="2:6" ht="21">
      <c r="B202" s="24"/>
      <c r="C202" s="24"/>
      <c r="D202" s="24"/>
      <c r="E202" s="24"/>
      <c r="F202" s="24"/>
    </row>
    <row r="203" spans="2:6" ht="21">
      <c r="B203" s="24"/>
      <c r="C203" s="24"/>
      <c r="D203" s="24"/>
      <c r="E203" s="24"/>
      <c r="F203" s="24"/>
    </row>
    <row r="204" spans="2:6" ht="21">
      <c r="B204" s="24"/>
      <c r="C204" s="24"/>
      <c r="D204" s="24"/>
      <c r="E204" s="24"/>
      <c r="F204" s="24"/>
    </row>
    <row r="205" spans="2:6" ht="21">
      <c r="B205" s="24"/>
      <c r="C205" s="24"/>
      <c r="D205" s="24"/>
      <c r="E205" s="24"/>
      <c r="F205" s="24"/>
    </row>
    <row r="206" spans="2:6" ht="21">
      <c r="B206" s="24"/>
      <c r="C206" s="24"/>
      <c r="D206" s="24"/>
      <c r="E206" s="24"/>
      <c r="F206" s="24"/>
    </row>
    <row r="207" spans="2:6" ht="21">
      <c r="B207" s="24"/>
      <c r="C207" s="24"/>
      <c r="D207" s="24"/>
      <c r="E207" s="24"/>
      <c r="F207" s="24"/>
    </row>
    <row r="208" spans="2:6" ht="21">
      <c r="B208" s="24"/>
      <c r="C208" s="24"/>
      <c r="D208" s="24"/>
      <c r="E208" s="24"/>
      <c r="F208" s="24"/>
    </row>
    <row r="209" spans="2:6" ht="21">
      <c r="B209" s="24"/>
      <c r="C209" s="24"/>
      <c r="D209" s="24"/>
      <c r="E209" s="24"/>
      <c r="F209" s="24"/>
    </row>
    <row r="210" spans="2:6" ht="21">
      <c r="B210" s="24"/>
      <c r="C210" s="24"/>
      <c r="D210" s="24"/>
      <c r="E210" s="24"/>
      <c r="F210" s="24"/>
    </row>
    <row r="211" spans="2:6" ht="21">
      <c r="B211" s="24"/>
      <c r="C211" s="24"/>
      <c r="D211" s="24"/>
      <c r="E211" s="24"/>
      <c r="F211" s="24"/>
    </row>
    <row r="212" spans="2:6" ht="21">
      <c r="B212" s="24"/>
      <c r="C212" s="24"/>
      <c r="D212" s="24"/>
      <c r="E212" s="24"/>
      <c r="F212" s="24"/>
    </row>
    <row r="213" spans="2:6" ht="21">
      <c r="B213" s="24"/>
      <c r="C213" s="24"/>
      <c r="D213" s="24"/>
      <c r="E213" s="24"/>
      <c r="F213" s="24"/>
    </row>
    <row r="214" spans="2:6" ht="21">
      <c r="B214" s="24"/>
      <c r="C214" s="24"/>
      <c r="D214" s="24"/>
      <c r="E214" s="24"/>
      <c r="F214" s="24"/>
    </row>
    <row r="215" spans="2:6" ht="21">
      <c r="B215" s="24"/>
      <c r="C215" s="24"/>
      <c r="D215" s="24"/>
      <c r="E215" s="24"/>
      <c r="F215" s="24"/>
    </row>
    <row r="216" spans="2:6" ht="21">
      <c r="B216" s="24"/>
      <c r="C216" s="24"/>
      <c r="D216" s="24"/>
      <c r="E216" s="24"/>
      <c r="F216" s="24"/>
    </row>
    <row r="217" spans="2:6" ht="21">
      <c r="B217" s="24"/>
      <c r="C217" s="24"/>
      <c r="D217" s="24"/>
      <c r="E217" s="24"/>
      <c r="F217" s="24"/>
    </row>
    <row r="218" spans="2:6" ht="21">
      <c r="B218" s="24"/>
      <c r="C218" s="24"/>
      <c r="D218" s="24"/>
      <c r="E218" s="24"/>
      <c r="F218" s="24"/>
    </row>
    <row r="219" spans="2:6" ht="21">
      <c r="B219" s="24"/>
      <c r="C219" s="24"/>
      <c r="D219" s="24"/>
      <c r="E219" s="24"/>
      <c r="F219" s="24"/>
    </row>
    <row r="220" spans="2:6" ht="21">
      <c r="B220" s="24"/>
      <c r="C220" s="24"/>
      <c r="D220" s="24"/>
      <c r="E220" s="24"/>
      <c r="F220" s="24"/>
    </row>
    <row r="221" spans="2:6" ht="21">
      <c r="B221" s="24"/>
      <c r="C221" s="24"/>
      <c r="D221" s="24"/>
      <c r="E221" s="24"/>
      <c r="F221" s="24"/>
    </row>
    <row r="222" spans="2:6" ht="21">
      <c r="B222" s="24"/>
      <c r="C222" s="24"/>
      <c r="D222" s="24"/>
      <c r="E222" s="24"/>
      <c r="F222" s="24"/>
    </row>
    <row r="223" spans="2:6" ht="21">
      <c r="B223" s="24"/>
      <c r="C223" s="24"/>
      <c r="D223" s="24"/>
      <c r="E223" s="24"/>
      <c r="F223" s="24"/>
    </row>
    <row r="224" spans="2:6" ht="21">
      <c r="B224" s="24"/>
      <c r="C224" s="24"/>
      <c r="D224" s="24"/>
      <c r="E224" s="24"/>
      <c r="F224" s="24"/>
    </row>
    <row r="225" spans="2:6" ht="21">
      <c r="B225" s="24"/>
      <c r="C225" s="24"/>
      <c r="D225" s="24"/>
      <c r="E225" s="24"/>
      <c r="F225" s="24"/>
    </row>
    <row r="226" spans="2:6" ht="21">
      <c r="B226" s="24"/>
      <c r="C226" s="24"/>
      <c r="D226" s="24"/>
      <c r="E226" s="24"/>
      <c r="F226" s="24"/>
    </row>
    <row r="227" spans="2:6" ht="21">
      <c r="B227" s="24"/>
      <c r="C227" s="24"/>
      <c r="D227" s="24"/>
      <c r="E227" s="24"/>
      <c r="F227" s="24"/>
    </row>
    <row r="228" spans="2:6" ht="21">
      <c r="B228" s="24"/>
      <c r="C228" s="24"/>
      <c r="D228" s="24"/>
      <c r="E228" s="24"/>
      <c r="F228" s="24"/>
    </row>
    <row r="229" spans="2:6" ht="21">
      <c r="B229" s="24"/>
      <c r="C229" s="24"/>
      <c r="D229" s="24"/>
      <c r="E229" s="24"/>
      <c r="F229" s="24"/>
    </row>
    <row r="230" spans="2:6" ht="21">
      <c r="B230" s="24"/>
      <c r="C230" s="24"/>
      <c r="D230" s="24"/>
      <c r="E230" s="24"/>
      <c r="F230" s="24"/>
    </row>
    <row r="231" spans="2:6" ht="21">
      <c r="B231" s="24"/>
      <c r="C231" s="24"/>
      <c r="D231" s="24"/>
      <c r="E231" s="24"/>
      <c r="F231" s="24"/>
    </row>
    <row r="232" spans="2:6" ht="21">
      <c r="B232" s="24"/>
      <c r="C232" s="24"/>
      <c r="D232" s="24"/>
      <c r="E232" s="24"/>
      <c r="F232" s="24"/>
    </row>
    <row r="233" spans="2:6" ht="21">
      <c r="B233" s="24"/>
      <c r="C233" s="24"/>
      <c r="D233" s="24"/>
      <c r="E233" s="24"/>
      <c r="F233" s="24"/>
    </row>
    <row r="234" spans="2:6" ht="21">
      <c r="B234" s="24"/>
      <c r="C234" s="24"/>
      <c r="D234" s="24"/>
      <c r="E234" s="24"/>
      <c r="F234" s="24"/>
    </row>
    <row r="235" spans="2:6" ht="21">
      <c r="B235" s="24"/>
      <c r="C235" s="24"/>
      <c r="D235" s="24"/>
      <c r="E235" s="24"/>
      <c r="F235" s="24"/>
    </row>
    <row r="236" spans="2:6" ht="21">
      <c r="B236" s="24"/>
      <c r="C236" s="24"/>
      <c r="D236" s="24"/>
      <c r="E236" s="24"/>
      <c r="F236" s="24"/>
    </row>
    <row r="237" spans="2:6" ht="21">
      <c r="B237" s="24"/>
      <c r="C237" s="24"/>
      <c r="D237" s="24"/>
      <c r="E237" s="24"/>
      <c r="F237" s="24"/>
    </row>
    <row r="238" spans="2:6" ht="21">
      <c r="B238" s="24"/>
      <c r="C238" s="24"/>
      <c r="D238" s="24"/>
      <c r="E238" s="24"/>
      <c r="F238" s="24"/>
    </row>
    <row r="239" spans="2:6" ht="21">
      <c r="B239" s="24"/>
      <c r="C239" s="24"/>
      <c r="D239" s="24"/>
      <c r="E239" s="24"/>
      <c r="F239" s="24"/>
    </row>
    <row r="240" spans="2:6" ht="21">
      <c r="B240" s="24"/>
      <c r="C240" s="24"/>
      <c r="D240" s="24"/>
      <c r="E240" s="24"/>
      <c r="F240" s="24"/>
    </row>
    <row r="241" spans="2:6" ht="21">
      <c r="B241" s="24"/>
      <c r="C241" s="24"/>
      <c r="D241" s="24"/>
      <c r="E241" s="24"/>
      <c r="F241" s="24"/>
    </row>
    <row r="242" spans="2:6" ht="21">
      <c r="B242" s="24"/>
      <c r="C242" s="24"/>
      <c r="D242" s="24"/>
      <c r="E242" s="24"/>
      <c r="F242" s="24"/>
    </row>
    <row r="243" spans="2:6" ht="21">
      <c r="B243" s="24"/>
      <c r="C243" s="24"/>
      <c r="D243" s="24"/>
      <c r="E243" s="24"/>
      <c r="F243" s="24"/>
    </row>
    <row r="244" spans="2:6" ht="21">
      <c r="B244" s="24"/>
      <c r="C244" s="24"/>
      <c r="D244" s="24"/>
      <c r="E244" s="24"/>
      <c r="F244" s="24"/>
    </row>
    <row r="245" spans="2:6" ht="21">
      <c r="B245" s="24"/>
      <c r="C245" s="24"/>
      <c r="D245" s="24"/>
      <c r="E245" s="24"/>
      <c r="F245" s="24"/>
    </row>
    <row r="246" spans="2:6" ht="21">
      <c r="B246" s="24"/>
      <c r="C246" s="24"/>
      <c r="D246" s="24"/>
      <c r="E246" s="24"/>
      <c r="F246" s="24"/>
    </row>
    <row r="247" spans="2:6" ht="21">
      <c r="B247" s="24"/>
      <c r="C247" s="24"/>
      <c r="D247" s="24"/>
      <c r="E247" s="24"/>
      <c r="F247" s="24"/>
    </row>
    <row r="248" spans="2:6" ht="21">
      <c r="B248" s="24"/>
      <c r="C248" s="24"/>
      <c r="D248" s="24"/>
      <c r="E248" s="24"/>
      <c r="F248" s="24"/>
    </row>
    <row r="249" spans="2:6" ht="21">
      <c r="B249" s="24"/>
      <c r="C249" s="24"/>
      <c r="D249" s="24"/>
      <c r="E249" s="24"/>
      <c r="F249" s="24"/>
    </row>
    <row r="250" spans="2:6" ht="21">
      <c r="B250" s="24"/>
      <c r="C250" s="24"/>
      <c r="D250" s="24"/>
      <c r="E250" s="24"/>
      <c r="F250" s="24"/>
    </row>
    <row r="251" spans="2:6" ht="21">
      <c r="B251" s="24"/>
      <c r="C251" s="24"/>
      <c r="D251" s="24"/>
      <c r="E251" s="24"/>
      <c r="F251" s="24"/>
    </row>
    <row r="252" spans="2:6" ht="21">
      <c r="B252" s="24"/>
      <c r="C252" s="24"/>
      <c r="D252" s="24"/>
      <c r="E252" s="24"/>
      <c r="F252" s="24"/>
    </row>
    <row r="253" spans="2:6" ht="21">
      <c r="B253" s="24"/>
      <c r="C253" s="24"/>
      <c r="D253" s="24"/>
      <c r="E253" s="24"/>
      <c r="F253" s="24"/>
    </row>
    <row r="254" spans="2:6" ht="21">
      <c r="B254" s="24"/>
      <c r="C254" s="24"/>
      <c r="D254" s="24"/>
      <c r="E254" s="24"/>
      <c r="F254" s="24"/>
    </row>
    <row r="255" spans="2:6" ht="21">
      <c r="B255" s="24"/>
      <c r="C255" s="24"/>
      <c r="D255" s="24"/>
      <c r="E255" s="24"/>
      <c r="F255" s="24"/>
    </row>
    <row r="256" spans="2:6" ht="21">
      <c r="B256" s="24"/>
      <c r="C256" s="24"/>
      <c r="D256" s="24"/>
      <c r="E256" s="24"/>
      <c r="F256" s="24"/>
    </row>
    <row r="257" spans="2:6" ht="21">
      <c r="B257" s="24"/>
      <c r="C257" s="24"/>
      <c r="D257" s="24"/>
      <c r="E257" s="24"/>
      <c r="F257" s="24"/>
    </row>
    <row r="258" spans="2:6" ht="21">
      <c r="B258" s="24"/>
      <c r="C258" s="24"/>
      <c r="D258" s="24"/>
      <c r="E258" s="24"/>
      <c r="F258" s="24"/>
    </row>
    <row r="259" spans="2:6" ht="21">
      <c r="B259" s="24"/>
      <c r="C259" s="24"/>
      <c r="D259" s="24"/>
      <c r="E259" s="24"/>
      <c r="F259" s="24"/>
    </row>
    <row r="260" spans="2:6" ht="21">
      <c r="B260" s="24"/>
      <c r="C260" s="24"/>
      <c r="D260" s="24"/>
      <c r="E260" s="24"/>
      <c r="F260" s="24"/>
    </row>
    <row r="261" spans="2:6" ht="21">
      <c r="B261" s="24"/>
      <c r="C261" s="24"/>
      <c r="D261" s="24"/>
      <c r="E261" s="24"/>
      <c r="F261" s="24"/>
    </row>
    <row r="262" spans="2:6" ht="21">
      <c r="B262" s="24"/>
      <c r="C262" s="24"/>
      <c r="D262" s="24"/>
      <c r="E262" s="24"/>
      <c r="F262" s="24"/>
    </row>
    <row r="263" spans="2:6" ht="21">
      <c r="B263" s="24"/>
      <c r="C263" s="24"/>
      <c r="D263" s="24"/>
      <c r="E263" s="24"/>
      <c r="F263" s="24"/>
    </row>
    <row r="264" spans="2:6" ht="21">
      <c r="B264" s="24"/>
      <c r="C264" s="24"/>
      <c r="D264" s="24"/>
      <c r="E264" s="24"/>
      <c r="F264" s="24"/>
    </row>
    <row r="265" spans="2:6" ht="21">
      <c r="B265" s="24"/>
      <c r="C265" s="24"/>
      <c r="D265" s="24"/>
      <c r="E265" s="24"/>
      <c r="F265" s="24"/>
    </row>
    <row r="266" spans="2:6" ht="21">
      <c r="B266" s="24"/>
      <c r="C266" s="24"/>
      <c r="D266" s="24"/>
      <c r="E266" s="24"/>
      <c r="F266" s="24"/>
    </row>
    <row r="267" spans="2:6" ht="21">
      <c r="B267" s="24"/>
      <c r="C267" s="24"/>
      <c r="D267" s="24"/>
      <c r="E267" s="24"/>
      <c r="F267" s="24"/>
    </row>
    <row r="268" spans="2:6" ht="21">
      <c r="B268" s="24"/>
      <c r="C268" s="24"/>
      <c r="D268" s="24"/>
      <c r="E268" s="24"/>
      <c r="F268" s="24"/>
    </row>
    <row r="269" spans="2:6" ht="21">
      <c r="B269" s="24"/>
      <c r="C269" s="24"/>
      <c r="D269" s="24"/>
      <c r="E269" s="24"/>
      <c r="F269" s="24"/>
    </row>
    <row r="270" spans="2:6" ht="21">
      <c r="B270" s="24"/>
      <c r="C270" s="24"/>
      <c r="D270" s="24"/>
      <c r="E270" s="24"/>
      <c r="F270" s="24"/>
    </row>
    <row r="271" spans="2:6" ht="21">
      <c r="B271" s="24"/>
      <c r="C271" s="24"/>
      <c r="D271" s="24"/>
      <c r="E271" s="24"/>
      <c r="F271" s="24"/>
    </row>
    <row r="272" spans="2:6" ht="21">
      <c r="B272" s="24"/>
      <c r="C272" s="24"/>
      <c r="D272" s="24"/>
      <c r="E272" s="24"/>
      <c r="F272" s="24"/>
    </row>
    <row r="273" spans="2:6" ht="21">
      <c r="B273" s="24"/>
      <c r="C273" s="24"/>
      <c r="D273" s="24"/>
      <c r="E273" s="24"/>
      <c r="F273" s="24"/>
    </row>
    <row r="274" spans="2:6" ht="21">
      <c r="B274" s="24"/>
      <c r="C274" s="24"/>
      <c r="D274" s="24"/>
      <c r="E274" s="24"/>
      <c r="F274" s="24"/>
    </row>
    <row r="275" spans="2:6" ht="21">
      <c r="B275" s="24"/>
      <c r="C275" s="24"/>
      <c r="D275" s="24"/>
      <c r="E275" s="24"/>
      <c r="F275" s="24"/>
    </row>
    <row r="276" spans="2:6" ht="21">
      <c r="B276" s="24"/>
      <c r="C276" s="24"/>
      <c r="D276" s="24"/>
      <c r="E276" s="24"/>
      <c r="F276" s="24"/>
    </row>
    <row r="277" spans="2:6" ht="21">
      <c r="B277" s="24"/>
      <c r="C277" s="24"/>
      <c r="D277" s="24"/>
      <c r="E277" s="24"/>
      <c r="F277" s="24"/>
    </row>
    <row r="278" spans="2:6" ht="21">
      <c r="B278" s="24"/>
      <c r="C278" s="24"/>
      <c r="D278" s="24"/>
      <c r="E278" s="24"/>
      <c r="F278" s="24"/>
    </row>
    <row r="279" spans="2:6" ht="21">
      <c r="B279" s="24"/>
      <c r="C279" s="24"/>
      <c r="D279" s="24"/>
      <c r="E279" s="24"/>
      <c r="F279" s="24"/>
    </row>
    <row r="280" spans="2:6" ht="21">
      <c r="B280" s="24"/>
      <c r="C280" s="24"/>
      <c r="D280" s="24"/>
      <c r="E280" s="24"/>
      <c r="F280" s="24"/>
    </row>
    <row r="281" spans="2:6" ht="21">
      <c r="B281" s="24"/>
      <c r="C281" s="24"/>
      <c r="D281" s="24"/>
      <c r="E281" s="24"/>
      <c r="F281" s="24"/>
    </row>
    <row r="282" spans="2:6" ht="21">
      <c r="B282" s="24"/>
      <c r="C282" s="24"/>
      <c r="D282" s="24"/>
      <c r="E282" s="24"/>
      <c r="F282" s="24"/>
    </row>
    <row r="283" spans="2:6" ht="21">
      <c r="B283" s="24"/>
      <c r="C283" s="24"/>
      <c r="D283" s="24"/>
      <c r="E283" s="24"/>
      <c r="F283" s="24"/>
    </row>
    <row r="284" spans="2:6" ht="21">
      <c r="B284" s="24"/>
      <c r="C284" s="24"/>
      <c r="D284" s="24"/>
      <c r="E284" s="24"/>
      <c r="F284" s="24"/>
    </row>
    <row r="285" spans="2:6" ht="21">
      <c r="B285" s="24"/>
      <c r="C285" s="24"/>
      <c r="D285" s="24"/>
      <c r="E285" s="24"/>
      <c r="F285" s="24"/>
    </row>
    <row r="286" spans="2:6" ht="21">
      <c r="B286" s="24"/>
      <c r="C286" s="24"/>
      <c r="D286" s="24"/>
      <c r="E286" s="24"/>
      <c r="F286" s="24"/>
    </row>
    <row r="287" spans="2:6" ht="21">
      <c r="B287" s="24"/>
      <c r="C287" s="24"/>
      <c r="D287" s="24"/>
      <c r="E287" s="24"/>
      <c r="F287" s="24"/>
    </row>
    <row r="288" spans="2:6" ht="21">
      <c r="B288" s="24"/>
      <c r="C288" s="24"/>
      <c r="D288" s="24"/>
      <c r="E288" s="24"/>
      <c r="F288" s="24"/>
    </row>
    <row r="289" spans="2:6" ht="21">
      <c r="B289" s="24"/>
      <c r="C289" s="24"/>
      <c r="D289" s="24"/>
      <c r="E289" s="24"/>
      <c r="F289" s="24"/>
    </row>
    <row r="290" spans="2:6" ht="21">
      <c r="B290" s="24"/>
      <c r="C290" s="24"/>
      <c r="D290" s="24"/>
      <c r="E290" s="24"/>
      <c r="F290" s="24"/>
    </row>
    <row r="291" spans="2:6" ht="21">
      <c r="B291" s="24"/>
      <c r="C291" s="24"/>
      <c r="D291" s="24"/>
      <c r="E291" s="24"/>
      <c r="F291" s="24"/>
    </row>
    <row r="292" spans="2:6" ht="21">
      <c r="B292" s="24"/>
      <c r="C292" s="24"/>
      <c r="D292" s="24"/>
      <c r="E292" s="24"/>
      <c r="F292" s="24"/>
    </row>
    <row r="293" spans="2:6" ht="21">
      <c r="B293" s="24"/>
      <c r="C293" s="24"/>
      <c r="D293" s="24"/>
      <c r="E293" s="24"/>
      <c r="F293" s="24"/>
    </row>
    <row r="294" spans="2:6" ht="21">
      <c r="B294" s="24"/>
      <c r="C294" s="24"/>
      <c r="D294" s="24"/>
      <c r="E294" s="24"/>
      <c r="F294" s="24"/>
    </row>
    <row r="295" spans="2:6" ht="21">
      <c r="B295" s="24"/>
      <c r="C295" s="24"/>
      <c r="D295" s="24"/>
      <c r="E295" s="24"/>
      <c r="F295" s="24"/>
    </row>
    <row r="296" spans="2:6" ht="21">
      <c r="B296" s="24"/>
      <c r="C296" s="24"/>
      <c r="D296" s="24"/>
      <c r="E296" s="24"/>
      <c r="F296" s="24"/>
    </row>
    <row r="297" spans="2:6" ht="21">
      <c r="B297" s="24"/>
      <c r="C297" s="24"/>
      <c r="D297" s="24"/>
      <c r="E297" s="24"/>
      <c r="F297" s="24"/>
    </row>
    <row r="298" spans="2:6" ht="21">
      <c r="B298" s="24"/>
      <c r="C298" s="24"/>
      <c r="D298" s="24"/>
      <c r="E298" s="24"/>
      <c r="F298" s="24"/>
    </row>
    <row r="299" spans="2:6" ht="21">
      <c r="B299" s="24"/>
      <c r="C299" s="24"/>
      <c r="D299" s="24"/>
      <c r="E299" s="24"/>
      <c r="F299" s="24"/>
    </row>
    <row r="300" spans="2:6" ht="21">
      <c r="B300" s="24"/>
      <c r="C300" s="24"/>
      <c r="D300" s="24"/>
      <c r="E300" s="24"/>
      <c r="F300" s="24"/>
    </row>
    <row r="301" spans="2:6" ht="21">
      <c r="B301" s="24"/>
      <c r="C301" s="24"/>
      <c r="D301" s="24"/>
      <c r="E301" s="24"/>
      <c r="F301" s="24"/>
    </row>
    <row r="302" spans="2:6" ht="21">
      <c r="B302" s="24"/>
      <c r="C302" s="24"/>
      <c r="D302" s="24"/>
      <c r="E302" s="24"/>
      <c r="F302" s="24"/>
    </row>
    <row r="303" spans="2:6" ht="21">
      <c r="B303" s="24"/>
      <c r="C303" s="24"/>
      <c r="D303" s="24"/>
      <c r="E303" s="24"/>
      <c r="F303" s="24"/>
    </row>
    <row r="304" spans="2:6" ht="21">
      <c r="B304" s="24"/>
      <c r="C304" s="24"/>
      <c r="D304" s="24"/>
      <c r="E304" s="24"/>
      <c r="F304" s="24"/>
    </row>
    <row r="305" spans="2:6" ht="21">
      <c r="B305" s="24"/>
      <c r="C305" s="24"/>
      <c r="D305" s="24"/>
      <c r="E305" s="24"/>
      <c r="F305" s="24"/>
    </row>
    <row r="306" spans="2:6" ht="21">
      <c r="B306" s="24"/>
      <c r="C306" s="24"/>
      <c r="D306" s="24"/>
      <c r="E306" s="24"/>
      <c r="F306" s="24"/>
    </row>
    <row r="307" spans="2:6" ht="21">
      <c r="B307" s="24"/>
      <c r="C307" s="24"/>
      <c r="D307" s="24"/>
      <c r="E307" s="24"/>
      <c r="F307" s="24"/>
    </row>
    <row r="308" spans="2:6" ht="21">
      <c r="B308" s="24"/>
      <c r="C308" s="24"/>
      <c r="D308" s="24"/>
      <c r="E308" s="24"/>
      <c r="F308" s="24"/>
    </row>
    <row r="309" spans="2:6" ht="21">
      <c r="B309" s="24"/>
      <c r="C309" s="24"/>
      <c r="D309" s="24"/>
      <c r="E309" s="24"/>
      <c r="F309" s="24"/>
    </row>
    <row r="310" spans="2:6" ht="21">
      <c r="B310" s="24"/>
      <c r="C310" s="24"/>
      <c r="D310" s="24"/>
      <c r="E310" s="24"/>
      <c r="F310" s="24"/>
    </row>
    <row r="311" spans="2:6" ht="21">
      <c r="B311" s="24"/>
      <c r="C311" s="24"/>
      <c r="D311" s="24"/>
      <c r="E311" s="24"/>
      <c r="F311" s="24"/>
    </row>
    <row r="312" spans="2:6" ht="21">
      <c r="B312" s="24"/>
      <c r="C312" s="24"/>
      <c r="D312" s="24"/>
      <c r="E312" s="24"/>
      <c r="F312" s="24"/>
    </row>
    <row r="313" spans="2:6" ht="21">
      <c r="B313" s="24"/>
      <c r="C313" s="24"/>
      <c r="D313" s="24"/>
      <c r="E313" s="24"/>
      <c r="F313" s="24"/>
    </row>
    <row r="314" spans="2:6" ht="21">
      <c r="B314" s="24"/>
      <c r="C314" s="24"/>
      <c r="D314" s="24"/>
      <c r="E314" s="24"/>
      <c r="F314" s="24"/>
    </row>
    <row r="315" spans="2:6" ht="21">
      <c r="B315" s="24"/>
      <c r="C315" s="24"/>
      <c r="D315" s="24"/>
      <c r="E315" s="24"/>
      <c r="F315" s="24"/>
    </row>
    <row r="316" spans="2:6" ht="21">
      <c r="B316" s="24"/>
      <c r="C316" s="24"/>
      <c r="D316" s="24"/>
      <c r="E316" s="24"/>
      <c r="F316" s="24"/>
    </row>
    <row r="317" spans="2:6" ht="21">
      <c r="B317" s="24"/>
      <c r="C317" s="24"/>
      <c r="D317" s="24"/>
      <c r="E317" s="24"/>
      <c r="F317" s="24"/>
    </row>
    <row r="318" spans="2:6" ht="21">
      <c r="B318" s="24"/>
      <c r="C318" s="24"/>
      <c r="D318" s="24"/>
      <c r="E318" s="24"/>
      <c r="F318" s="24"/>
    </row>
    <row r="319" spans="2:6" ht="21">
      <c r="B319" s="24"/>
      <c r="C319" s="24"/>
      <c r="D319" s="24"/>
      <c r="E319" s="24"/>
      <c r="F319" s="24"/>
    </row>
    <row r="320" spans="2:6" ht="21">
      <c r="B320" s="24"/>
      <c r="C320" s="24"/>
      <c r="D320" s="24"/>
      <c r="E320" s="24"/>
      <c r="F320" s="24"/>
    </row>
    <row r="321" spans="2:6" ht="21">
      <c r="B321" s="24"/>
      <c r="C321" s="24"/>
      <c r="D321" s="24"/>
      <c r="E321" s="24"/>
      <c r="F321" s="24"/>
    </row>
    <row r="322" spans="2:6" ht="21">
      <c r="B322" s="24"/>
      <c r="C322" s="24"/>
      <c r="D322" s="24"/>
      <c r="E322" s="24"/>
      <c r="F322" s="24"/>
    </row>
    <row r="323" spans="2:6" ht="21">
      <c r="B323" s="24"/>
      <c r="C323" s="24"/>
      <c r="D323" s="24"/>
      <c r="E323" s="24"/>
      <c r="F323" s="24"/>
    </row>
    <row r="324" spans="2:6" ht="21">
      <c r="B324" s="24"/>
      <c r="C324" s="24"/>
      <c r="D324" s="24"/>
      <c r="E324" s="24"/>
      <c r="F324" s="24"/>
    </row>
    <row r="325" spans="2:6" ht="21">
      <c r="B325" s="24"/>
      <c r="C325" s="24"/>
      <c r="D325" s="24"/>
      <c r="E325" s="24"/>
      <c r="F325" s="24"/>
    </row>
    <row r="326" spans="2:6" ht="21">
      <c r="B326" s="24"/>
      <c r="C326" s="24"/>
      <c r="D326" s="24"/>
      <c r="E326" s="24"/>
      <c r="F326" s="24"/>
    </row>
    <row r="327" spans="2:6" ht="21">
      <c r="B327" s="24"/>
      <c r="C327" s="24"/>
      <c r="D327" s="24"/>
      <c r="E327" s="24"/>
      <c r="F327" s="24"/>
    </row>
    <row r="328" spans="2:6" ht="21">
      <c r="B328" s="24"/>
      <c r="C328" s="24"/>
      <c r="D328" s="24"/>
      <c r="E328" s="24"/>
      <c r="F328" s="24"/>
    </row>
    <row r="329" spans="2:6" ht="21">
      <c r="B329" s="24"/>
      <c r="C329" s="24"/>
      <c r="D329" s="24"/>
      <c r="E329" s="24"/>
      <c r="F329" s="24"/>
    </row>
    <row r="330" spans="2:6" ht="21">
      <c r="B330" s="24"/>
      <c r="C330" s="24"/>
      <c r="D330" s="24"/>
      <c r="E330" s="24"/>
      <c r="F330" s="24"/>
    </row>
    <row r="331" spans="2:6" ht="21">
      <c r="B331" s="24"/>
      <c r="C331" s="24"/>
      <c r="D331" s="24"/>
      <c r="E331" s="24"/>
      <c r="F331" s="24"/>
    </row>
    <row r="332" spans="2:6" ht="21">
      <c r="B332" s="24"/>
      <c r="C332" s="24"/>
      <c r="D332" s="24"/>
      <c r="E332" s="24"/>
      <c r="F332" s="24"/>
    </row>
    <row r="333" spans="2:6" ht="21">
      <c r="B333" s="24"/>
      <c r="C333" s="24"/>
      <c r="D333" s="24"/>
      <c r="E333" s="24"/>
      <c r="F333" s="24"/>
    </row>
    <row r="334" spans="2:6" ht="21">
      <c r="B334" s="24"/>
      <c r="C334" s="24"/>
      <c r="D334" s="24"/>
      <c r="E334" s="24"/>
      <c r="F334" s="24"/>
    </row>
    <row r="335" spans="2:6" ht="21">
      <c r="B335" s="24"/>
      <c r="C335" s="24"/>
      <c r="D335" s="24"/>
      <c r="E335" s="24"/>
      <c r="F335" s="24"/>
    </row>
    <row r="336" spans="2:6" ht="21">
      <c r="B336" s="24"/>
      <c r="C336" s="24"/>
      <c r="D336" s="24"/>
      <c r="E336" s="24"/>
      <c r="F336" s="24"/>
    </row>
    <row r="337" spans="2:6" ht="21">
      <c r="B337" s="24"/>
      <c r="C337" s="24"/>
      <c r="D337" s="24"/>
      <c r="E337" s="24"/>
      <c r="F337" s="24"/>
    </row>
    <row r="338" spans="2:6" ht="21">
      <c r="B338" s="24"/>
      <c r="C338" s="24"/>
      <c r="D338" s="24"/>
      <c r="E338" s="24"/>
      <c r="F338" s="24"/>
    </row>
    <row r="339" spans="2:6" ht="21">
      <c r="B339" s="24"/>
      <c r="C339" s="24"/>
      <c r="D339" s="24"/>
      <c r="E339" s="24"/>
      <c r="F339" s="24"/>
    </row>
    <row r="340" spans="2:6" ht="21">
      <c r="B340" s="24"/>
      <c r="C340" s="24"/>
      <c r="D340" s="24"/>
      <c r="E340" s="24"/>
      <c r="F340" s="24"/>
    </row>
    <row r="341" spans="2:6" ht="21">
      <c r="B341" s="24"/>
      <c r="C341" s="24"/>
      <c r="D341" s="24"/>
      <c r="E341" s="24"/>
      <c r="F341" s="24"/>
    </row>
    <row r="342" spans="2:6" ht="21">
      <c r="B342" s="24"/>
      <c r="C342" s="24"/>
      <c r="D342" s="24"/>
      <c r="E342" s="24"/>
      <c r="F342" s="24"/>
    </row>
    <row r="343" spans="2:6" ht="21">
      <c r="B343" s="24"/>
      <c r="C343" s="24"/>
      <c r="D343" s="24"/>
      <c r="E343" s="24"/>
      <c r="F343" s="24"/>
    </row>
    <row r="344" spans="2:6" ht="21">
      <c r="B344" s="24"/>
      <c r="C344" s="24"/>
      <c r="D344" s="24"/>
      <c r="E344" s="24"/>
      <c r="F344" s="24"/>
    </row>
    <row r="345" spans="2:6" ht="21">
      <c r="B345" s="24"/>
      <c r="C345" s="24"/>
      <c r="D345" s="24"/>
      <c r="E345" s="24"/>
      <c r="F345" s="24"/>
    </row>
    <row r="346" spans="2:6" ht="21">
      <c r="B346" s="24"/>
      <c r="C346" s="24"/>
      <c r="D346" s="24"/>
      <c r="E346" s="24"/>
      <c r="F346" s="24"/>
    </row>
    <row r="347" spans="2:6" ht="21">
      <c r="B347" s="24"/>
      <c r="C347" s="24"/>
      <c r="D347" s="24"/>
      <c r="E347" s="24"/>
      <c r="F347" s="24"/>
    </row>
    <row r="348" spans="2:6" ht="21">
      <c r="B348" s="24"/>
      <c r="C348" s="24"/>
      <c r="D348" s="24"/>
      <c r="E348" s="24"/>
      <c r="F348" s="24"/>
    </row>
    <row r="349" spans="2:6" ht="21">
      <c r="B349" s="24"/>
      <c r="C349" s="24"/>
      <c r="D349" s="24"/>
      <c r="E349" s="24"/>
      <c r="F349" s="24"/>
    </row>
    <row r="350" spans="2:6" ht="21">
      <c r="B350" s="24"/>
      <c r="C350" s="24"/>
      <c r="D350" s="24"/>
      <c r="E350" s="24"/>
      <c r="F350" s="24"/>
    </row>
    <row r="351" spans="2:6" ht="21">
      <c r="B351" s="24"/>
      <c r="C351" s="24"/>
      <c r="D351" s="24"/>
      <c r="E351" s="24"/>
      <c r="F351" s="24"/>
    </row>
    <row r="352" spans="2:6" ht="21">
      <c r="B352" s="24"/>
      <c r="C352" s="24"/>
      <c r="D352" s="24"/>
      <c r="E352" s="24"/>
      <c r="F352" s="24"/>
    </row>
    <row r="353" spans="2:6" ht="21">
      <c r="B353" s="24"/>
      <c r="C353" s="24"/>
      <c r="D353" s="24"/>
      <c r="E353" s="24"/>
      <c r="F353" s="24"/>
    </row>
    <row r="354" spans="2:6" ht="21">
      <c r="B354" s="24"/>
      <c r="C354" s="24"/>
      <c r="D354" s="24"/>
      <c r="E354" s="24"/>
      <c r="F354" s="24"/>
    </row>
    <row r="355" spans="2:6" ht="21">
      <c r="B355" s="24"/>
      <c r="C355" s="24"/>
      <c r="D355" s="24"/>
      <c r="E355" s="24"/>
      <c r="F355" s="24"/>
    </row>
    <row r="356" spans="2:6" ht="21">
      <c r="B356" s="24"/>
      <c r="C356" s="24"/>
      <c r="D356" s="24"/>
      <c r="E356" s="24"/>
      <c r="F356" s="24"/>
    </row>
    <row r="357" spans="2:6" ht="21">
      <c r="B357" s="24"/>
      <c r="C357" s="24"/>
      <c r="D357" s="24"/>
      <c r="E357" s="24"/>
      <c r="F357" s="24"/>
    </row>
    <row r="358" spans="2:6" ht="21">
      <c r="B358" s="24"/>
      <c r="C358" s="24"/>
      <c r="D358" s="24"/>
      <c r="E358" s="24"/>
      <c r="F358" s="24"/>
    </row>
    <row r="359" spans="2:6" ht="21">
      <c r="B359" s="24"/>
      <c r="C359" s="24"/>
      <c r="D359" s="24"/>
      <c r="E359" s="24"/>
      <c r="F359" s="24"/>
    </row>
    <row r="360" spans="2:6" ht="21">
      <c r="B360" s="24"/>
      <c r="C360" s="24"/>
      <c r="D360" s="24"/>
      <c r="E360" s="24"/>
      <c r="F360" s="24"/>
    </row>
    <row r="361" spans="2:6" ht="21">
      <c r="B361" s="24"/>
      <c r="C361" s="24"/>
      <c r="D361" s="24"/>
      <c r="E361" s="24"/>
      <c r="F361" s="24"/>
    </row>
    <row r="362" spans="2:6" ht="21">
      <c r="B362" s="24"/>
      <c r="C362" s="24"/>
      <c r="D362" s="24"/>
      <c r="E362" s="24"/>
      <c r="F362" s="24"/>
    </row>
    <row r="363" spans="2:6" ht="21">
      <c r="B363" s="24"/>
      <c r="C363" s="24"/>
      <c r="D363" s="24"/>
      <c r="E363" s="24"/>
      <c r="F363" s="24"/>
    </row>
    <row r="364" spans="2:6" ht="21">
      <c r="B364" s="24"/>
      <c r="C364" s="24"/>
      <c r="D364" s="24"/>
      <c r="E364" s="24"/>
      <c r="F364" s="24"/>
    </row>
    <row r="365" spans="2:6" ht="21">
      <c r="B365" s="24"/>
      <c r="C365" s="24"/>
      <c r="D365" s="24"/>
      <c r="E365" s="24"/>
      <c r="F365" s="24"/>
    </row>
    <row r="366" spans="2:6" ht="21">
      <c r="B366" s="24"/>
      <c r="C366" s="24"/>
      <c r="D366" s="24"/>
      <c r="E366" s="24"/>
      <c r="F366" s="24"/>
    </row>
    <row r="367" spans="2:6" ht="21">
      <c r="B367" s="24"/>
      <c r="C367" s="24"/>
      <c r="D367" s="24"/>
      <c r="E367" s="24"/>
      <c r="F367" s="24"/>
    </row>
    <row r="368" spans="2:6" ht="21">
      <c r="B368" s="24"/>
      <c r="C368" s="24"/>
      <c r="D368" s="24"/>
      <c r="E368" s="24"/>
      <c r="F368" s="24"/>
    </row>
    <row r="369" spans="2:6" ht="21">
      <c r="B369" s="24"/>
      <c r="C369" s="24"/>
      <c r="D369" s="24"/>
      <c r="E369" s="24"/>
      <c r="F369" s="24"/>
    </row>
    <row r="370" spans="2:6" ht="21">
      <c r="B370" s="24"/>
      <c r="C370" s="24"/>
      <c r="D370" s="24"/>
      <c r="E370" s="24"/>
      <c r="F370" s="24"/>
    </row>
    <row r="371" spans="2:6" ht="21">
      <c r="B371" s="24"/>
      <c r="C371" s="24"/>
      <c r="D371" s="24"/>
      <c r="E371" s="24"/>
      <c r="F371" s="24"/>
    </row>
    <row r="372" spans="2:6" ht="21">
      <c r="B372" s="24"/>
      <c r="C372" s="24"/>
      <c r="D372" s="24"/>
      <c r="E372" s="24"/>
      <c r="F372" s="24"/>
    </row>
    <row r="373" spans="2:6" ht="21">
      <c r="B373" s="24"/>
      <c r="C373" s="24"/>
      <c r="D373" s="24"/>
      <c r="E373" s="24"/>
      <c r="F373" s="24"/>
    </row>
    <row r="374" spans="2:6" ht="21">
      <c r="B374" s="24"/>
      <c r="C374" s="24"/>
      <c r="D374" s="24"/>
      <c r="E374" s="24"/>
      <c r="F374" s="24"/>
    </row>
    <row r="375" spans="2:6" ht="21">
      <c r="B375" s="24"/>
      <c r="C375" s="24"/>
      <c r="D375" s="24"/>
      <c r="E375" s="24"/>
      <c r="F375" s="24"/>
    </row>
    <row r="376" spans="2:6" ht="21">
      <c r="B376" s="24"/>
      <c r="C376" s="24"/>
      <c r="D376" s="24"/>
      <c r="E376" s="24"/>
      <c r="F376" s="24"/>
    </row>
    <row r="377" spans="2:6" ht="21">
      <c r="B377" s="24"/>
      <c r="C377" s="24"/>
      <c r="D377" s="24"/>
      <c r="E377" s="24"/>
      <c r="F377" s="24"/>
    </row>
    <row r="378" spans="2:6" ht="21">
      <c r="B378" s="24"/>
      <c r="C378" s="24"/>
      <c r="D378" s="24"/>
      <c r="E378" s="24"/>
      <c r="F378" s="24"/>
    </row>
    <row r="379" spans="2:6" ht="21">
      <c r="B379" s="24"/>
      <c r="C379" s="24"/>
      <c r="D379" s="24"/>
      <c r="E379" s="24"/>
      <c r="F379" s="24"/>
    </row>
    <row r="380" spans="2:6" ht="21">
      <c r="B380" s="24"/>
      <c r="C380" s="24"/>
      <c r="D380" s="24"/>
      <c r="E380" s="24"/>
      <c r="F380" s="24"/>
    </row>
    <row r="381" spans="2:6" ht="21">
      <c r="B381" s="24"/>
      <c r="C381" s="24"/>
      <c r="D381" s="24"/>
      <c r="E381" s="24"/>
      <c r="F381" s="24"/>
    </row>
    <row r="382" spans="2:6" ht="21">
      <c r="B382" s="24"/>
      <c r="C382" s="24"/>
      <c r="D382" s="24"/>
      <c r="E382" s="24"/>
      <c r="F382" s="24"/>
    </row>
    <row r="383" spans="2:6" ht="21">
      <c r="B383" s="24"/>
      <c r="C383" s="24"/>
      <c r="D383" s="24"/>
      <c r="E383" s="24"/>
      <c r="F383" s="24"/>
    </row>
    <row r="384" spans="2:6" ht="21">
      <c r="B384" s="24"/>
      <c r="C384" s="24"/>
      <c r="D384" s="24"/>
      <c r="E384" s="24"/>
      <c r="F384" s="24"/>
    </row>
    <row r="385" spans="2:6" ht="21">
      <c r="B385" s="24"/>
      <c r="C385" s="24"/>
      <c r="D385" s="24"/>
      <c r="E385" s="24"/>
      <c r="F385" s="24"/>
    </row>
    <row r="386" spans="2:6" ht="21">
      <c r="B386" s="24"/>
      <c r="C386" s="24"/>
      <c r="D386" s="24"/>
      <c r="E386" s="24"/>
      <c r="F386" s="24"/>
    </row>
    <row r="387" spans="2:6" ht="21">
      <c r="B387" s="24"/>
      <c r="C387" s="24"/>
      <c r="D387" s="24"/>
      <c r="E387" s="24"/>
      <c r="F387" s="24"/>
    </row>
    <row r="388" spans="2:6" ht="21">
      <c r="B388" s="24"/>
      <c r="C388" s="24"/>
      <c r="D388" s="24"/>
      <c r="E388" s="24"/>
      <c r="F388" s="24"/>
    </row>
    <row r="389" spans="2:6" ht="21">
      <c r="B389" s="24"/>
      <c r="C389" s="24"/>
      <c r="D389" s="24"/>
      <c r="E389" s="24"/>
      <c r="F389" s="24"/>
    </row>
    <row r="390" spans="2:6" ht="21">
      <c r="B390" s="24"/>
      <c r="C390" s="24"/>
      <c r="D390" s="24"/>
      <c r="E390" s="24"/>
      <c r="F390" s="24"/>
    </row>
    <row r="391" spans="2:6" ht="21">
      <c r="B391" s="24"/>
      <c r="C391" s="24"/>
      <c r="D391" s="24"/>
      <c r="E391" s="24"/>
      <c r="F391" s="24"/>
    </row>
    <row r="392" spans="2:6" ht="21">
      <c r="B392" s="24"/>
      <c r="C392" s="24"/>
      <c r="D392" s="24"/>
      <c r="E392" s="24"/>
      <c r="F392" s="24"/>
    </row>
    <row r="393" spans="2:6" ht="21">
      <c r="B393" s="24"/>
      <c r="C393" s="24"/>
      <c r="D393" s="24"/>
      <c r="E393" s="24"/>
      <c r="F393" s="24"/>
    </row>
    <row r="394" spans="2:6" ht="21">
      <c r="B394" s="24"/>
      <c r="C394" s="24"/>
      <c r="D394" s="24"/>
      <c r="E394" s="24"/>
      <c r="F394" s="24"/>
    </row>
    <row r="395" spans="2:6" ht="21">
      <c r="B395" s="24"/>
      <c r="C395" s="24"/>
      <c r="D395" s="24"/>
      <c r="E395" s="24"/>
      <c r="F395" s="24"/>
    </row>
    <row r="396" spans="2:6" ht="21">
      <c r="B396" s="24"/>
      <c r="C396" s="24"/>
      <c r="D396" s="24"/>
      <c r="E396" s="24"/>
      <c r="F396" s="24"/>
    </row>
    <row r="397" spans="2:6" ht="21">
      <c r="B397" s="24"/>
      <c r="C397" s="24"/>
      <c r="D397" s="24"/>
      <c r="E397" s="24"/>
      <c r="F397" s="24"/>
    </row>
    <row r="398" spans="2:6" ht="21">
      <c r="B398" s="24"/>
      <c r="C398" s="24"/>
      <c r="D398" s="24"/>
      <c r="E398" s="24"/>
      <c r="F398" s="24"/>
    </row>
    <row r="399" spans="2:6" ht="21">
      <c r="B399" s="24"/>
      <c r="C399" s="24"/>
      <c r="D399" s="24"/>
      <c r="E399" s="24"/>
      <c r="F399" s="24"/>
    </row>
    <row r="400" spans="2:6" ht="21">
      <c r="B400" s="24"/>
      <c r="C400" s="24"/>
      <c r="D400" s="24"/>
      <c r="E400" s="24"/>
      <c r="F400" s="24"/>
    </row>
    <row r="401" spans="2:6" ht="21">
      <c r="B401" s="24"/>
      <c r="C401" s="24"/>
      <c r="D401" s="24"/>
      <c r="E401" s="24"/>
      <c r="F401" s="24"/>
    </row>
    <row r="402" spans="2:6" ht="21">
      <c r="B402" s="24"/>
      <c r="C402" s="24"/>
      <c r="D402" s="24"/>
      <c r="E402" s="24"/>
      <c r="F402" s="24"/>
    </row>
    <row r="403" spans="2:6" ht="21">
      <c r="B403" s="24"/>
      <c r="C403" s="24"/>
      <c r="D403" s="24"/>
      <c r="E403" s="24"/>
      <c r="F403" s="24"/>
    </row>
    <row r="404" spans="2:6" ht="21">
      <c r="B404" s="24"/>
      <c r="C404" s="24"/>
      <c r="D404" s="24"/>
      <c r="E404" s="24"/>
      <c r="F404" s="24"/>
    </row>
    <row r="405" spans="2:6" ht="21">
      <c r="B405" s="24"/>
      <c r="C405" s="24"/>
      <c r="D405" s="24"/>
      <c r="E405" s="24"/>
      <c r="F405" s="24"/>
    </row>
    <row r="406" spans="2:6" ht="21">
      <c r="B406" s="24"/>
      <c r="C406" s="24"/>
      <c r="D406" s="24"/>
      <c r="E406" s="24"/>
      <c r="F406" s="24"/>
    </row>
    <row r="407" spans="2:6" ht="21">
      <c r="B407" s="24"/>
      <c r="C407" s="24"/>
      <c r="D407" s="24"/>
      <c r="E407" s="24"/>
      <c r="F407" s="24"/>
    </row>
    <row r="408" spans="2:6" ht="21">
      <c r="B408" s="24"/>
      <c r="C408" s="24"/>
      <c r="D408" s="24"/>
      <c r="E408" s="24"/>
      <c r="F408" s="24"/>
    </row>
    <row r="409" spans="2:6" ht="21">
      <c r="B409" s="24"/>
      <c r="C409" s="24"/>
      <c r="D409" s="24"/>
      <c r="E409" s="24"/>
      <c r="F409" s="24"/>
    </row>
    <row r="410" spans="2:6" ht="21">
      <c r="B410" s="24"/>
      <c r="C410" s="24"/>
      <c r="D410" s="24"/>
      <c r="E410" s="24"/>
      <c r="F410" s="24"/>
    </row>
    <row r="411" spans="2:6" ht="21">
      <c r="B411" s="24"/>
      <c r="C411" s="24"/>
      <c r="D411" s="24"/>
      <c r="E411" s="24"/>
      <c r="F411" s="24"/>
    </row>
    <row r="412" spans="2:6" ht="21">
      <c r="B412" s="24"/>
      <c r="C412" s="24"/>
      <c r="D412" s="24"/>
      <c r="E412" s="24"/>
      <c r="F412" s="24"/>
    </row>
    <row r="413" spans="2:6" ht="21">
      <c r="B413" s="24"/>
      <c r="C413" s="24"/>
      <c r="D413" s="24"/>
      <c r="E413" s="24"/>
      <c r="F413" s="24"/>
    </row>
    <row r="414" spans="2:6" ht="21">
      <c r="B414" s="24"/>
      <c r="C414" s="24"/>
      <c r="D414" s="24"/>
      <c r="E414" s="24"/>
      <c r="F414" s="24"/>
    </row>
    <row r="415" spans="2:6" ht="21">
      <c r="B415" s="24"/>
      <c r="C415" s="24"/>
      <c r="D415" s="24"/>
      <c r="E415" s="24"/>
      <c r="F415" s="24"/>
    </row>
    <row r="416" spans="2:6" ht="21">
      <c r="B416" s="24"/>
      <c r="C416" s="24"/>
      <c r="D416" s="24"/>
      <c r="E416" s="24"/>
      <c r="F416" s="24"/>
    </row>
    <row r="417" spans="2:6" ht="21">
      <c r="B417" s="24"/>
      <c r="C417" s="24"/>
      <c r="D417" s="24"/>
      <c r="E417" s="24"/>
      <c r="F417" s="24"/>
    </row>
    <row r="418" spans="2:6" ht="21">
      <c r="B418" s="24"/>
      <c r="C418" s="24"/>
      <c r="D418" s="24"/>
      <c r="E418" s="24"/>
      <c r="F418" s="24"/>
    </row>
    <row r="419" spans="2:6" ht="21">
      <c r="B419" s="24"/>
      <c r="C419" s="24"/>
      <c r="D419" s="24"/>
      <c r="E419" s="24"/>
      <c r="F419" s="24"/>
    </row>
    <row r="420" spans="2:6" ht="21">
      <c r="B420" s="24"/>
      <c r="C420" s="24"/>
      <c r="D420" s="24"/>
      <c r="E420" s="24"/>
      <c r="F420" s="24"/>
    </row>
    <row r="421" spans="2:6" ht="21">
      <c r="B421" s="24"/>
      <c r="C421" s="24"/>
      <c r="D421" s="24"/>
      <c r="E421" s="24"/>
      <c r="F421" s="24"/>
    </row>
    <row r="422" spans="2:6" ht="21">
      <c r="B422" s="24"/>
      <c r="C422" s="24"/>
      <c r="D422" s="24"/>
      <c r="E422" s="24"/>
      <c r="F422" s="24"/>
    </row>
    <row r="423" spans="2:6" ht="21">
      <c r="B423" s="24"/>
      <c r="C423" s="24"/>
      <c r="D423" s="24"/>
      <c r="E423" s="24"/>
      <c r="F423" s="24"/>
    </row>
    <row r="424" spans="2:6" ht="21">
      <c r="B424" s="24"/>
      <c r="C424" s="24"/>
      <c r="D424" s="24"/>
      <c r="E424" s="24"/>
      <c r="F424" s="24"/>
    </row>
    <row r="425" spans="2:6" ht="21">
      <c r="B425" s="24"/>
      <c r="C425" s="24"/>
      <c r="D425" s="24"/>
      <c r="E425" s="24"/>
      <c r="F425" s="24"/>
    </row>
    <row r="426" spans="2:6" ht="21">
      <c r="B426" s="24"/>
      <c r="C426" s="24"/>
      <c r="D426" s="24"/>
      <c r="E426" s="24"/>
      <c r="F426" s="24"/>
    </row>
    <row r="427" spans="2:6" ht="21">
      <c r="B427" s="24"/>
      <c r="C427" s="24"/>
      <c r="D427" s="24"/>
      <c r="E427" s="24"/>
      <c r="F427" s="24"/>
    </row>
    <row r="428" spans="2:6" ht="21">
      <c r="B428" s="24"/>
      <c r="C428" s="24"/>
      <c r="D428" s="24"/>
      <c r="E428" s="24"/>
      <c r="F428" s="24"/>
    </row>
    <row r="429" spans="2:6" ht="21">
      <c r="B429" s="24"/>
      <c r="C429" s="24"/>
      <c r="D429" s="24"/>
      <c r="E429" s="24"/>
      <c r="F429" s="24"/>
    </row>
    <row r="430" spans="2:6" ht="21">
      <c r="B430" s="24"/>
      <c r="C430" s="24"/>
      <c r="D430" s="24"/>
      <c r="E430" s="24"/>
      <c r="F430" s="24"/>
    </row>
    <row r="431" spans="2:6" ht="21">
      <c r="B431" s="24"/>
      <c r="C431" s="24"/>
      <c r="D431" s="24"/>
      <c r="E431" s="24"/>
      <c r="F431" s="24"/>
    </row>
    <row r="432" spans="2:6" ht="21">
      <c r="B432" s="24"/>
      <c r="C432" s="24"/>
      <c r="D432" s="24"/>
      <c r="E432" s="24"/>
      <c r="F432" s="24"/>
    </row>
    <row r="433" spans="2:6" ht="21">
      <c r="B433" s="24"/>
      <c r="C433" s="24"/>
      <c r="D433" s="24"/>
      <c r="E433" s="24"/>
      <c r="F433" s="24"/>
    </row>
    <row r="434" spans="2:6" ht="21">
      <c r="B434" s="24"/>
      <c r="C434" s="24"/>
      <c r="D434" s="24"/>
      <c r="E434" s="24"/>
      <c r="F434" s="24"/>
    </row>
    <row r="435" spans="2:6" ht="21">
      <c r="B435" s="24"/>
      <c r="C435" s="24"/>
      <c r="D435" s="24"/>
      <c r="E435" s="24"/>
      <c r="F435" s="24"/>
    </row>
    <row r="436" spans="2:6" ht="21">
      <c r="B436" s="24"/>
      <c r="C436" s="24"/>
      <c r="D436" s="24"/>
      <c r="E436" s="24"/>
      <c r="F436" s="24"/>
    </row>
    <row r="437" spans="2:6" ht="21">
      <c r="B437" s="24"/>
      <c r="C437" s="24"/>
      <c r="D437" s="24"/>
      <c r="E437" s="24"/>
      <c r="F437" s="24"/>
    </row>
    <row r="438" spans="2:6" ht="21">
      <c r="B438" s="24"/>
      <c r="C438" s="24"/>
      <c r="D438" s="24"/>
      <c r="E438" s="24"/>
      <c r="F438" s="24"/>
    </row>
    <row r="439" spans="2:6" ht="21">
      <c r="B439" s="24"/>
      <c r="C439" s="24"/>
      <c r="D439" s="24"/>
      <c r="E439" s="24"/>
      <c r="F439" s="24"/>
    </row>
    <row r="440" spans="2:6" ht="21">
      <c r="B440" s="24"/>
      <c r="C440" s="24"/>
      <c r="D440" s="24"/>
      <c r="E440" s="24"/>
      <c r="F440" s="24"/>
    </row>
    <row r="441" spans="2:6" ht="21">
      <c r="B441" s="24"/>
      <c r="C441" s="24"/>
      <c r="D441" s="24"/>
      <c r="E441" s="24"/>
      <c r="F441" s="24"/>
    </row>
    <row r="442" spans="2:6" ht="21">
      <c r="B442" s="24"/>
      <c r="C442" s="24"/>
      <c r="D442" s="24"/>
      <c r="E442" s="24"/>
      <c r="F442" s="24"/>
    </row>
    <row r="443" spans="2:6" ht="21">
      <c r="B443" s="24"/>
      <c r="C443" s="24"/>
      <c r="D443" s="24"/>
      <c r="E443" s="24"/>
      <c r="F443" s="24"/>
    </row>
    <row r="444" spans="2:6" ht="21">
      <c r="B444" s="24"/>
      <c r="C444" s="24"/>
      <c r="D444" s="24"/>
      <c r="E444" s="24"/>
      <c r="F444" s="24"/>
    </row>
    <row r="445" spans="2:6" ht="21">
      <c r="B445" s="24"/>
      <c r="C445" s="24"/>
      <c r="D445" s="24"/>
      <c r="E445" s="24"/>
      <c r="F445" s="24"/>
    </row>
    <row r="446" spans="2:6" ht="21">
      <c r="B446" s="24"/>
      <c r="C446" s="24"/>
      <c r="D446" s="24"/>
      <c r="E446" s="24"/>
      <c r="F446" s="24"/>
    </row>
    <row r="447" spans="2:6" ht="21">
      <c r="B447" s="24"/>
      <c r="C447" s="24"/>
      <c r="D447" s="24"/>
      <c r="E447" s="24"/>
      <c r="F447" s="24"/>
    </row>
    <row r="448" spans="2:6" ht="21">
      <c r="B448" s="24"/>
      <c r="C448" s="24"/>
      <c r="D448" s="24"/>
      <c r="E448" s="24"/>
      <c r="F448" s="24"/>
    </row>
    <row r="449" spans="2:6" ht="21">
      <c r="B449" s="24"/>
      <c r="C449" s="24"/>
      <c r="D449" s="24"/>
      <c r="E449" s="24"/>
      <c r="F449" s="24"/>
    </row>
    <row r="450" spans="2:6" ht="21">
      <c r="B450" s="24"/>
      <c r="C450" s="24"/>
      <c r="D450" s="24"/>
      <c r="E450" s="24"/>
      <c r="F450" s="24"/>
    </row>
    <row r="451" spans="2:6" ht="21">
      <c r="B451" s="24"/>
      <c r="C451" s="24"/>
      <c r="D451" s="24"/>
      <c r="E451" s="24"/>
      <c r="F451" s="24"/>
    </row>
    <row r="452" spans="2:6" ht="21">
      <c r="B452" s="24"/>
      <c r="C452" s="24"/>
      <c r="D452" s="24"/>
      <c r="E452" s="24"/>
      <c r="F452" s="24"/>
    </row>
    <row r="453" spans="2:6" ht="21">
      <c r="B453" s="24"/>
      <c r="C453" s="24"/>
      <c r="D453" s="24"/>
      <c r="E453" s="24"/>
      <c r="F453" s="24"/>
    </row>
    <row r="454" spans="2:6" ht="21">
      <c r="B454" s="24"/>
      <c r="C454" s="24"/>
      <c r="D454" s="24"/>
      <c r="E454" s="24"/>
      <c r="F454" s="24"/>
    </row>
    <row r="455" spans="2:6" ht="21">
      <c r="B455" s="24"/>
      <c r="C455" s="24"/>
      <c r="D455" s="24"/>
      <c r="E455" s="24"/>
      <c r="F455" s="24"/>
    </row>
    <row r="456" spans="2:6" ht="21">
      <c r="B456" s="24"/>
      <c r="C456" s="24"/>
      <c r="D456" s="24"/>
      <c r="E456" s="24"/>
      <c r="F456" s="24"/>
    </row>
    <row r="457" spans="2:6" ht="21">
      <c r="B457" s="24"/>
      <c r="C457" s="24"/>
      <c r="D457" s="24"/>
      <c r="E457" s="24"/>
      <c r="F457" s="24"/>
    </row>
    <row r="458" spans="2:6" ht="21">
      <c r="B458" s="24"/>
      <c r="C458" s="24"/>
      <c r="D458" s="24"/>
      <c r="E458" s="24"/>
      <c r="F458" s="24"/>
    </row>
    <row r="459" spans="2:6" ht="21">
      <c r="B459" s="24"/>
      <c r="C459" s="24"/>
      <c r="D459" s="24"/>
      <c r="E459" s="24"/>
      <c r="F459" s="24"/>
    </row>
    <row r="460" spans="2:6" ht="21">
      <c r="B460" s="24"/>
      <c r="C460" s="24"/>
      <c r="D460" s="24"/>
      <c r="E460" s="24"/>
      <c r="F460" s="24"/>
    </row>
    <row r="461" spans="2:6" ht="21">
      <c r="B461" s="24"/>
      <c r="C461" s="24"/>
      <c r="D461" s="24"/>
      <c r="E461" s="24"/>
      <c r="F461" s="24"/>
    </row>
    <row r="462" spans="2:6" ht="21">
      <c r="B462" s="24"/>
      <c r="C462" s="24"/>
      <c r="D462" s="24"/>
      <c r="E462" s="24"/>
      <c r="F462" s="24"/>
    </row>
    <row r="463" spans="2:6" ht="21">
      <c r="B463" s="24"/>
      <c r="C463" s="24"/>
      <c r="D463" s="24"/>
      <c r="E463" s="24"/>
      <c r="F463" s="24"/>
    </row>
    <row r="464" spans="2:6" ht="21">
      <c r="B464" s="24"/>
      <c r="C464" s="24"/>
      <c r="D464" s="24"/>
      <c r="E464" s="24"/>
      <c r="F464" s="24"/>
    </row>
    <row r="465" spans="2:6" ht="21">
      <c r="B465" s="24"/>
      <c r="C465" s="24"/>
      <c r="D465" s="24"/>
      <c r="E465" s="24"/>
      <c r="F465" s="24"/>
    </row>
    <row r="466" spans="2:6" ht="21">
      <c r="B466" s="24"/>
      <c r="C466" s="24"/>
      <c r="D466" s="24"/>
      <c r="E466" s="24"/>
      <c r="F466" s="24"/>
    </row>
    <row r="467" spans="2:6" ht="21">
      <c r="B467" s="24"/>
      <c r="C467" s="24"/>
      <c r="D467" s="24"/>
      <c r="E467" s="24"/>
      <c r="F467" s="24"/>
    </row>
    <row r="468" spans="2:6" ht="21">
      <c r="B468" s="24"/>
      <c r="C468" s="24"/>
      <c r="D468" s="24"/>
      <c r="E468" s="24"/>
      <c r="F468" s="24"/>
    </row>
    <row r="469" spans="2:6" ht="21">
      <c r="B469" s="24"/>
      <c r="C469" s="24"/>
      <c r="D469" s="24"/>
      <c r="E469" s="24"/>
      <c r="F469" s="24"/>
    </row>
    <row r="470" spans="2:6" ht="21">
      <c r="B470" s="24"/>
      <c r="C470" s="24"/>
      <c r="D470" s="24"/>
      <c r="E470" s="24"/>
      <c r="F470" s="24"/>
    </row>
    <row r="471" spans="2:6" ht="21">
      <c r="B471" s="24"/>
      <c r="C471" s="24"/>
      <c r="D471" s="24"/>
      <c r="E471" s="24"/>
      <c r="F471" s="24"/>
    </row>
    <row r="472" spans="2:6" ht="21">
      <c r="B472" s="24"/>
      <c r="C472" s="24"/>
      <c r="D472" s="24"/>
      <c r="E472" s="24"/>
      <c r="F472" s="24"/>
    </row>
    <row r="473" spans="2:6" ht="21">
      <c r="B473" s="24"/>
      <c r="C473" s="24"/>
      <c r="D473" s="24"/>
      <c r="E473" s="24"/>
      <c r="F473" s="24"/>
    </row>
    <row r="474" spans="2:6" ht="21">
      <c r="B474" s="24"/>
      <c r="C474" s="24"/>
      <c r="D474" s="24"/>
      <c r="E474" s="24"/>
      <c r="F474" s="24"/>
    </row>
    <row r="475" spans="2:6" ht="21">
      <c r="B475" s="24"/>
      <c r="C475" s="24"/>
      <c r="D475" s="24"/>
      <c r="E475" s="24"/>
      <c r="F475" s="24"/>
    </row>
    <row r="476" spans="2:6" ht="21">
      <c r="B476" s="24"/>
      <c r="C476" s="24"/>
      <c r="D476" s="24"/>
      <c r="E476" s="24"/>
      <c r="F476" s="24"/>
    </row>
    <row r="477" spans="2:6" ht="21">
      <c r="B477" s="24"/>
      <c r="C477" s="24"/>
      <c r="D477" s="24"/>
      <c r="E477" s="24"/>
      <c r="F477" s="24"/>
    </row>
    <row r="478" spans="2:6" ht="21">
      <c r="B478" s="24"/>
      <c r="C478" s="24"/>
      <c r="D478" s="24"/>
      <c r="E478" s="24"/>
      <c r="F478" s="24"/>
    </row>
    <row r="479" spans="2:6" ht="21">
      <c r="B479" s="24"/>
      <c r="C479" s="24"/>
      <c r="D479" s="24"/>
      <c r="E479" s="24"/>
      <c r="F479" s="24"/>
    </row>
    <row r="480" spans="2:6" ht="21">
      <c r="B480" s="24"/>
      <c r="C480" s="24"/>
      <c r="D480" s="24"/>
      <c r="E480" s="24"/>
      <c r="F480" s="24"/>
    </row>
    <row r="481" spans="2:6" ht="21">
      <c r="B481" s="24"/>
      <c r="C481" s="24"/>
      <c r="D481" s="24"/>
      <c r="E481" s="24"/>
      <c r="F481" s="24"/>
    </row>
    <row r="482" spans="2:6" ht="21">
      <c r="B482" s="24"/>
      <c r="C482" s="24"/>
      <c r="D482" s="24"/>
      <c r="E482" s="24"/>
      <c r="F482" s="24"/>
    </row>
    <row r="483" spans="2:6" ht="21">
      <c r="B483" s="24"/>
      <c r="C483" s="24"/>
      <c r="D483" s="24"/>
      <c r="E483" s="24"/>
      <c r="F483" s="24"/>
    </row>
    <row r="484" spans="2:6" ht="21">
      <c r="B484" s="24"/>
      <c r="C484" s="24"/>
      <c r="D484" s="24"/>
      <c r="E484" s="24"/>
      <c r="F484" s="24"/>
    </row>
    <row r="485" spans="2:6" ht="21">
      <c r="B485" s="24"/>
      <c r="C485" s="24"/>
      <c r="D485" s="24"/>
      <c r="E485" s="24"/>
      <c r="F485" s="24"/>
    </row>
    <row r="486" spans="2:6" ht="21">
      <c r="B486" s="24"/>
      <c r="C486" s="24"/>
      <c r="D486" s="24"/>
      <c r="E486" s="24"/>
      <c r="F486" s="24"/>
    </row>
    <row r="487" spans="2:6" ht="21">
      <c r="B487" s="24"/>
      <c r="C487" s="24"/>
      <c r="D487" s="24"/>
      <c r="E487" s="24"/>
      <c r="F487" s="24"/>
    </row>
    <row r="488" spans="2:6" ht="21">
      <c r="B488" s="24"/>
      <c r="C488" s="24"/>
      <c r="D488" s="24"/>
      <c r="E488" s="24"/>
      <c r="F488" s="24"/>
    </row>
    <row r="489" spans="2:6" ht="21">
      <c r="B489" s="24"/>
      <c r="C489" s="24"/>
      <c r="D489" s="24"/>
      <c r="E489" s="24"/>
      <c r="F489" s="24"/>
    </row>
    <row r="490" spans="2:6" ht="21">
      <c r="B490" s="24"/>
      <c r="C490" s="24"/>
      <c r="D490" s="24"/>
      <c r="E490" s="24"/>
      <c r="F490" s="24"/>
    </row>
    <row r="491" spans="2:6" ht="21">
      <c r="B491" s="24"/>
      <c r="C491" s="24"/>
      <c r="D491" s="24"/>
      <c r="E491" s="24"/>
      <c r="F491" s="24"/>
    </row>
    <row r="492" spans="2:6" ht="21">
      <c r="B492" s="24"/>
      <c r="C492" s="24"/>
      <c r="D492" s="24"/>
      <c r="E492" s="24"/>
      <c r="F492" s="24"/>
    </row>
    <row r="493" spans="2:6" ht="21">
      <c r="B493" s="24"/>
      <c r="C493" s="24"/>
      <c r="D493" s="24"/>
      <c r="E493" s="24"/>
      <c r="F493" s="24"/>
    </row>
    <row r="494" spans="2:6" ht="21">
      <c r="B494" s="24"/>
      <c r="C494" s="24"/>
      <c r="D494" s="24"/>
      <c r="E494" s="24"/>
      <c r="F494" s="24"/>
    </row>
    <row r="495" spans="2:6" ht="21">
      <c r="B495" s="24"/>
      <c r="C495" s="24"/>
      <c r="D495" s="24"/>
      <c r="E495" s="24"/>
      <c r="F495" s="24"/>
    </row>
    <row r="496" spans="2:6" ht="21">
      <c r="B496" s="24"/>
      <c r="C496" s="24"/>
      <c r="D496" s="24"/>
      <c r="E496" s="24"/>
      <c r="F496" s="24"/>
    </row>
    <row r="497" spans="2:6" ht="21">
      <c r="B497" s="24"/>
      <c r="C497" s="24"/>
      <c r="D497" s="24"/>
      <c r="E497" s="24"/>
      <c r="F497" s="24"/>
    </row>
    <row r="498" spans="2:6" ht="21">
      <c r="B498" s="24"/>
      <c r="C498" s="24"/>
      <c r="D498" s="24"/>
      <c r="E498" s="24"/>
      <c r="F498" s="24"/>
    </row>
    <row r="499" spans="2:6" ht="21">
      <c r="B499" s="24"/>
      <c r="C499" s="24"/>
      <c r="D499" s="24"/>
      <c r="E499" s="24"/>
      <c r="F499" s="24"/>
    </row>
    <row r="500" spans="2:6" ht="21">
      <c r="B500" s="24"/>
      <c r="C500" s="24"/>
      <c r="D500" s="24"/>
      <c r="E500" s="24"/>
      <c r="F500" s="24"/>
    </row>
    <row r="501" spans="2:6" ht="21">
      <c r="B501" s="24"/>
      <c r="C501" s="24"/>
      <c r="D501" s="24"/>
      <c r="E501" s="24"/>
      <c r="F501" s="24"/>
    </row>
    <row r="502" spans="2:6" ht="21">
      <c r="B502" s="24"/>
      <c r="C502" s="24"/>
      <c r="D502" s="24"/>
      <c r="E502" s="24"/>
      <c r="F502" s="24"/>
    </row>
    <row r="503" spans="2:6" ht="21">
      <c r="B503" s="24"/>
      <c r="C503" s="24"/>
      <c r="D503" s="24"/>
      <c r="E503" s="24"/>
      <c r="F503" s="24"/>
    </row>
    <row r="504" spans="2:6" ht="21">
      <c r="B504" s="24"/>
      <c r="C504" s="24"/>
      <c r="D504" s="24"/>
      <c r="E504" s="24"/>
      <c r="F504" s="24"/>
    </row>
    <row r="505" spans="2:6" ht="21">
      <c r="B505" s="24"/>
      <c r="C505" s="24"/>
      <c r="D505" s="24"/>
      <c r="E505" s="24"/>
      <c r="F505" s="24"/>
    </row>
    <row r="506" spans="2:6" ht="21">
      <c r="B506" s="24"/>
      <c r="C506" s="24"/>
      <c r="D506" s="24"/>
      <c r="E506" s="24"/>
      <c r="F506" s="24"/>
    </row>
    <row r="507" spans="2:6" ht="21">
      <c r="B507" s="24"/>
      <c r="C507" s="24"/>
      <c r="D507" s="24"/>
      <c r="E507" s="24"/>
      <c r="F507" s="24"/>
    </row>
    <row r="508" spans="2:6" ht="21">
      <c r="B508" s="24"/>
      <c r="C508" s="24"/>
      <c r="D508" s="24"/>
      <c r="E508" s="24"/>
      <c r="F508" s="24"/>
    </row>
    <row r="509" spans="2:6" ht="21">
      <c r="B509" s="24"/>
      <c r="C509" s="24"/>
      <c r="D509" s="24"/>
      <c r="E509" s="24"/>
      <c r="F509" s="24"/>
    </row>
    <row r="510" spans="2:6" ht="21">
      <c r="B510" s="24"/>
      <c r="C510" s="24"/>
      <c r="D510" s="24"/>
      <c r="E510" s="24"/>
      <c r="F510" s="24"/>
    </row>
    <row r="511" spans="2:6" ht="21">
      <c r="B511" s="24"/>
      <c r="C511" s="24"/>
      <c r="D511" s="24"/>
      <c r="E511" s="24"/>
      <c r="F511" s="24"/>
    </row>
    <row r="512" spans="2:6" ht="21">
      <c r="B512" s="24"/>
      <c r="C512" s="24"/>
      <c r="D512" s="24"/>
      <c r="E512" s="24"/>
      <c r="F512" s="24"/>
    </row>
    <row r="513" spans="2:6" ht="21">
      <c r="B513" s="24"/>
      <c r="C513" s="24"/>
      <c r="D513" s="24"/>
      <c r="E513" s="24"/>
      <c r="F513" s="24"/>
    </row>
    <row r="514" spans="2:6" ht="21">
      <c r="B514" s="24"/>
      <c r="C514" s="24"/>
      <c r="D514" s="24"/>
      <c r="E514" s="24"/>
      <c r="F514" s="24"/>
    </row>
    <row r="515" spans="2:6" ht="21">
      <c r="B515" s="24"/>
      <c r="C515" s="24"/>
      <c r="D515" s="24"/>
      <c r="E515" s="24"/>
      <c r="F515" s="24"/>
    </row>
    <row r="516" spans="2:6" ht="21">
      <c r="B516" s="24"/>
      <c r="C516" s="24"/>
      <c r="D516" s="24"/>
      <c r="E516" s="24"/>
      <c r="F516" s="24"/>
    </row>
    <row r="517" spans="2:6" ht="21">
      <c r="B517" s="24"/>
      <c r="C517" s="24"/>
      <c r="D517" s="24"/>
      <c r="E517" s="24"/>
      <c r="F517" s="24"/>
    </row>
    <row r="518" spans="2:6" ht="21">
      <c r="B518" s="24"/>
      <c r="C518" s="24"/>
      <c r="D518" s="24"/>
      <c r="E518" s="24"/>
      <c r="F518" s="24"/>
    </row>
    <row r="519" spans="2:6" ht="21">
      <c r="B519" s="24"/>
      <c r="C519" s="24"/>
      <c r="D519" s="24"/>
      <c r="E519" s="24"/>
      <c r="F519" s="24"/>
    </row>
    <row r="520" spans="2:6" ht="21">
      <c r="B520" s="24"/>
      <c r="C520" s="24"/>
      <c r="D520" s="24"/>
      <c r="E520" s="24"/>
      <c r="F520" s="24"/>
    </row>
    <row r="521" spans="2:6" ht="21">
      <c r="B521" s="24"/>
      <c r="C521" s="24"/>
      <c r="D521" s="24"/>
      <c r="E521" s="24"/>
      <c r="F521" s="24"/>
    </row>
    <row r="522" spans="2:6" ht="21">
      <c r="B522" s="24"/>
      <c r="C522" s="24"/>
      <c r="D522" s="24"/>
      <c r="E522" s="24"/>
      <c r="F522" s="24"/>
    </row>
    <row r="523" spans="2:6" ht="21">
      <c r="B523" s="24"/>
      <c r="C523" s="24"/>
      <c r="D523" s="24"/>
      <c r="E523" s="24"/>
      <c r="F523" s="24"/>
    </row>
    <row r="524" spans="2:6" ht="21">
      <c r="B524" s="24"/>
      <c r="C524" s="24"/>
      <c r="D524" s="24"/>
      <c r="E524" s="24"/>
      <c r="F524" s="24"/>
    </row>
    <row r="525" spans="2:6" ht="21">
      <c r="B525" s="24"/>
      <c r="C525" s="24"/>
      <c r="D525" s="24"/>
      <c r="E525" s="24"/>
      <c r="F525" s="24"/>
    </row>
    <row r="526" spans="2:6" ht="21">
      <c r="B526" s="24"/>
      <c r="C526" s="24"/>
      <c r="D526" s="24"/>
      <c r="E526" s="24"/>
      <c r="F526" s="24"/>
    </row>
    <row r="527" spans="2:6" ht="21">
      <c r="B527" s="24"/>
      <c r="C527" s="24"/>
      <c r="D527" s="24"/>
      <c r="E527" s="24"/>
      <c r="F527" s="24"/>
    </row>
    <row r="528" spans="2:6" ht="21">
      <c r="B528" s="24"/>
      <c r="C528" s="24"/>
      <c r="D528" s="24"/>
      <c r="E528" s="24"/>
      <c r="F528" s="24"/>
    </row>
    <row r="529" spans="2:6" ht="21">
      <c r="B529" s="24"/>
      <c r="C529" s="24"/>
      <c r="D529" s="24"/>
      <c r="E529" s="24"/>
      <c r="F529" s="24"/>
    </row>
    <row r="530" spans="2:6" ht="21">
      <c r="B530" s="24"/>
      <c r="C530" s="24"/>
      <c r="D530" s="24"/>
      <c r="E530" s="24"/>
      <c r="F530" s="24"/>
    </row>
    <row r="531" spans="2:6" ht="21">
      <c r="B531" s="24"/>
      <c r="C531" s="24"/>
      <c r="D531" s="24"/>
      <c r="E531" s="24"/>
      <c r="F531" s="24"/>
    </row>
    <row r="532" spans="2:6" ht="21">
      <c r="B532" s="24"/>
      <c r="C532" s="24"/>
      <c r="D532" s="24"/>
      <c r="E532" s="24"/>
      <c r="F532" s="24"/>
    </row>
    <row r="533" spans="2:6" ht="21">
      <c r="B533" s="24"/>
      <c r="C533" s="24"/>
      <c r="D533" s="24"/>
      <c r="E533" s="24"/>
      <c r="F533" s="24"/>
    </row>
    <row r="534" spans="2:6" ht="21">
      <c r="B534" s="24"/>
      <c r="C534" s="24"/>
      <c r="D534" s="24"/>
      <c r="E534" s="24"/>
      <c r="F534" s="24"/>
    </row>
    <row r="535" spans="2:6" ht="21">
      <c r="B535" s="24"/>
      <c r="C535" s="24"/>
      <c r="D535" s="24"/>
      <c r="E535" s="24"/>
      <c r="F535" s="24"/>
    </row>
    <row r="536" spans="2:6" ht="21">
      <c r="B536" s="24"/>
      <c r="C536" s="24"/>
      <c r="D536" s="24"/>
      <c r="E536" s="24"/>
      <c r="F536" s="24"/>
    </row>
    <row r="537" spans="2:6" ht="21">
      <c r="B537" s="24"/>
      <c r="C537" s="24"/>
      <c r="D537" s="24"/>
      <c r="E537" s="24"/>
      <c r="F537" s="24"/>
    </row>
    <row r="538" spans="2:6" ht="21">
      <c r="B538" s="24"/>
      <c r="C538" s="24"/>
      <c r="D538" s="24"/>
      <c r="E538" s="24"/>
      <c r="F538" s="24"/>
    </row>
    <row r="539" spans="2:6" ht="21">
      <c r="B539" s="24"/>
      <c r="C539" s="24"/>
      <c r="D539" s="24"/>
      <c r="E539" s="24"/>
      <c r="F539" s="24"/>
    </row>
    <row r="540" spans="2:6" ht="21">
      <c r="B540" s="24"/>
      <c r="C540" s="24"/>
      <c r="D540" s="24"/>
      <c r="E540" s="24"/>
      <c r="F540" s="24"/>
    </row>
    <row r="541" spans="2:6" ht="21">
      <c r="B541" s="24"/>
      <c r="C541" s="24"/>
      <c r="D541" s="24"/>
      <c r="E541" s="24"/>
      <c r="F541" s="24"/>
    </row>
    <row r="542" spans="2:6" ht="21">
      <c r="B542" s="24"/>
      <c r="C542" s="24"/>
      <c r="D542" s="24"/>
      <c r="E542" s="24"/>
      <c r="F542" s="24"/>
    </row>
    <row r="543" spans="2:6" ht="21">
      <c r="B543" s="24"/>
      <c r="C543" s="24"/>
      <c r="D543" s="24"/>
      <c r="E543" s="24"/>
      <c r="F543" s="24"/>
    </row>
    <row r="544" spans="2:6" ht="21">
      <c r="B544" s="24"/>
      <c r="C544" s="24"/>
      <c r="D544" s="24"/>
      <c r="E544" s="24"/>
      <c r="F544" s="24"/>
    </row>
    <row r="545" spans="2:6" ht="21">
      <c r="B545" s="24"/>
      <c r="C545" s="24"/>
      <c r="D545" s="24"/>
      <c r="E545" s="24"/>
      <c r="F545" s="24"/>
    </row>
    <row r="546" spans="2:6" ht="21">
      <c r="B546" s="24"/>
      <c r="C546" s="24"/>
      <c r="D546" s="24"/>
      <c r="E546" s="24"/>
      <c r="F546" s="24"/>
    </row>
    <row r="547" spans="2:6" ht="21">
      <c r="B547" s="24"/>
      <c r="C547" s="24"/>
      <c r="D547" s="24"/>
      <c r="E547" s="24"/>
      <c r="F547" s="24"/>
    </row>
    <row r="548" spans="2:6" ht="21">
      <c r="B548" s="24"/>
      <c r="C548" s="24"/>
      <c r="D548" s="24"/>
      <c r="E548" s="24"/>
      <c r="F548" s="24"/>
    </row>
    <row r="549" spans="2:6" ht="21">
      <c r="B549" s="24"/>
      <c r="C549" s="24"/>
      <c r="D549" s="24"/>
      <c r="E549" s="24"/>
      <c r="F549" s="24"/>
    </row>
    <row r="550" spans="2:6" ht="21">
      <c r="B550" s="24"/>
      <c r="C550" s="24"/>
      <c r="D550" s="24"/>
      <c r="E550" s="24"/>
      <c r="F550" s="24"/>
    </row>
    <row r="551" spans="2:6" ht="21">
      <c r="B551" s="24"/>
      <c r="C551" s="24"/>
      <c r="D551" s="24"/>
      <c r="E551" s="24"/>
      <c r="F551" s="24"/>
    </row>
    <row r="552" spans="2:6" ht="21">
      <c r="B552" s="24"/>
      <c r="C552" s="24"/>
      <c r="D552" s="24"/>
      <c r="E552" s="24"/>
      <c r="F552" s="24"/>
    </row>
    <row r="553" spans="2:6" ht="21">
      <c r="B553" s="24"/>
      <c r="C553" s="24"/>
      <c r="D553" s="24"/>
      <c r="E553" s="24"/>
      <c r="F553" s="24"/>
    </row>
    <row r="554" spans="2:6" ht="21">
      <c r="B554" s="24"/>
      <c r="C554" s="24"/>
      <c r="D554" s="24"/>
      <c r="E554" s="24"/>
      <c r="F554" s="24"/>
    </row>
    <row r="555" spans="2:6" ht="21">
      <c r="B555" s="24"/>
      <c r="C555" s="24"/>
      <c r="D555" s="24"/>
      <c r="E555" s="24"/>
      <c r="F555" s="24"/>
    </row>
    <row r="556" spans="2:6" ht="21">
      <c r="B556" s="24"/>
      <c r="C556" s="24"/>
      <c r="D556" s="24"/>
      <c r="E556" s="24"/>
      <c r="F556" s="24"/>
    </row>
    <row r="557" spans="2:6" ht="21">
      <c r="B557" s="24"/>
      <c r="C557" s="24"/>
      <c r="D557" s="24"/>
      <c r="E557" s="24"/>
      <c r="F557" s="24"/>
    </row>
    <row r="558" spans="2:6" ht="21">
      <c r="B558" s="24"/>
      <c r="C558" s="24"/>
      <c r="D558" s="24"/>
      <c r="E558" s="24"/>
      <c r="F558" s="24"/>
    </row>
    <row r="559" spans="2:6" ht="21">
      <c r="B559" s="24"/>
      <c r="C559" s="24"/>
      <c r="D559" s="24"/>
      <c r="E559" s="24"/>
      <c r="F559" s="24"/>
    </row>
    <row r="560" spans="2:6" ht="21">
      <c r="B560" s="24"/>
      <c r="C560" s="24"/>
      <c r="D560" s="24"/>
      <c r="E560" s="24"/>
      <c r="F560" s="24"/>
    </row>
    <row r="561" spans="2:6" ht="21">
      <c r="B561" s="24"/>
      <c r="C561" s="24"/>
      <c r="D561" s="24"/>
      <c r="E561" s="24"/>
      <c r="F561" s="24"/>
    </row>
    <row r="562" spans="2:6" ht="21">
      <c r="B562" s="24"/>
      <c r="C562" s="24"/>
      <c r="D562" s="24"/>
      <c r="E562" s="24"/>
      <c r="F562" s="24"/>
    </row>
    <row r="563" spans="2:6" ht="21">
      <c r="B563" s="24"/>
      <c r="C563" s="24"/>
      <c r="D563" s="24"/>
      <c r="E563" s="24"/>
      <c r="F563" s="24"/>
    </row>
    <row r="564" spans="2:6" ht="21">
      <c r="B564" s="24"/>
      <c r="C564" s="24"/>
      <c r="D564" s="24"/>
      <c r="E564" s="24"/>
      <c r="F564" s="24"/>
    </row>
    <row r="565" spans="2:6" ht="21">
      <c r="B565" s="24"/>
      <c r="C565" s="24"/>
      <c r="D565" s="24"/>
      <c r="E565" s="24"/>
      <c r="F565" s="24"/>
    </row>
    <row r="566" spans="2:6" ht="21">
      <c r="B566" s="24"/>
      <c r="C566" s="24"/>
      <c r="D566" s="24"/>
      <c r="E566" s="24"/>
      <c r="F566" s="24"/>
    </row>
    <row r="567" spans="2:6" ht="21">
      <c r="B567" s="24"/>
      <c r="C567" s="24"/>
      <c r="D567" s="24"/>
      <c r="E567" s="24"/>
      <c r="F567" s="24"/>
    </row>
    <row r="568" spans="2:6" ht="21">
      <c r="B568" s="24"/>
      <c r="C568" s="24"/>
      <c r="D568" s="24"/>
      <c r="E568" s="24"/>
      <c r="F568" s="24"/>
    </row>
    <row r="569" spans="2:6" ht="21">
      <c r="B569" s="24"/>
      <c r="C569" s="24"/>
      <c r="D569" s="24"/>
      <c r="E569" s="24"/>
      <c r="F569" s="24"/>
    </row>
    <row r="570" spans="2:6" ht="21">
      <c r="B570" s="24"/>
      <c r="C570" s="24"/>
      <c r="D570" s="24"/>
      <c r="E570" s="24"/>
      <c r="F570" s="24"/>
    </row>
    <row r="571" spans="2:6" ht="21">
      <c r="B571" s="24"/>
      <c r="C571" s="24"/>
      <c r="D571" s="24"/>
      <c r="E571" s="24"/>
      <c r="F571" s="24"/>
    </row>
    <row r="572" spans="2:6" ht="21">
      <c r="B572" s="24"/>
      <c r="C572" s="24"/>
      <c r="D572" s="24"/>
      <c r="E572" s="24"/>
      <c r="F572" s="24"/>
    </row>
    <row r="573" spans="2:6" ht="21">
      <c r="B573" s="24"/>
      <c r="C573" s="24"/>
      <c r="D573" s="24"/>
      <c r="E573" s="24"/>
      <c r="F573" s="24"/>
    </row>
    <row r="574" spans="2:6" ht="21">
      <c r="B574" s="24"/>
      <c r="C574" s="24"/>
      <c r="D574" s="24"/>
      <c r="E574" s="24"/>
      <c r="F574" s="24"/>
    </row>
    <row r="575" spans="2:6" ht="21">
      <c r="B575" s="24"/>
      <c r="C575" s="24"/>
      <c r="D575" s="24"/>
      <c r="E575" s="24"/>
      <c r="F575" s="24"/>
    </row>
    <row r="576" spans="2:6" ht="21">
      <c r="B576" s="24"/>
      <c r="C576" s="24"/>
      <c r="D576" s="24"/>
      <c r="E576" s="24"/>
      <c r="F576" s="24"/>
    </row>
    <row r="577" spans="2:6" ht="21">
      <c r="B577" s="24"/>
      <c r="C577" s="24"/>
      <c r="D577" s="24"/>
      <c r="E577" s="24"/>
      <c r="F577" s="24"/>
    </row>
    <row r="578" spans="2:6" ht="21">
      <c r="B578" s="24"/>
      <c r="C578" s="24"/>
      <c r="D578" s="24"/>
      <c r="E578" s="24"/>
      <c r="F578" s="24"/>
    </row>
    <row r="579" spans="2:6" ht="21">
      <c r="B579" s="24"/>
      <c r="C579" s="24"/>
      <c r="D579" s="24"/>
      <c r="E579" s="24"/>
      <c r="F579" s="24"/>
    </row>
    <row r="580" spans="2:6" ht="21">
      <c r="B580" s="24"/>
      <c r="C580" s="24"/>
      <c r="D580" s="24"/>
      <c r="E580" s="24"/>
      <c r="F580" s="24"/>
    </row>
    <row r="581" spans="2:6" ht="21">
      <c r="B581" s="24"/>
      <c r="C581" s="24"/>
      <c r="D581" s="24"/>
      <c r="E581" s="24"/>
      <c r="F581" s="24"/>
    </row>
    <row r="582" spans="2:6" ht="21">
      <c r="B582" s="24"/>
      <c r="C582" s="24"/>
      <c r="D582" s="24"/>
      <c r="E582" s="24"/>
      <c r="F582" s="24"/>
    </row>
    <row r="583" spans="2:6" ht="21">
      <c r="B583" s="24"/>
      <c r="C583" s="24"/>
      <c r="D583" s="24"/>
      <c r="E583" s="24"/>
      <c r="F583" s="24"/>
    </row>
    <row r="584" spans="2:6" ht="21">
      <c r="B584" s="24"/>
      <c r="C584" s="24"/>
      <c r="D584" s="24"/>
      <c r="E584" s="24"/>
      <c r="F584" s="24"/>
    </row>
    <row r="585" spans="2:6" ht="21">
      <c r="B585" s="24"/>
      <c r="C585" s="24"/>
      <c r="D585" s="24"/>
      <c r="E585" s="24"/>
      <c r="F585" s="24"/>
    </row>
    <row r="586" spans="2:6" ht="21">
      <c r="B586" s="24"/>
      <c r="C586" s="24"/>
      <c r="D586" s="24"/>
      <c r="E586" s="24"/>
      <c r="F586" s="24"/>
    </row>
    <row r="587" spans="2:6" ht="21">
      <c r="B587" s="24"/>
      <c r="C587" s="24"/>
      <c r="D587" s="24"/>
      <c r="E587" s="24"/>
      <c r="F587" s="24"/>
    </row>
    <row r="588" spans="2:6" ht="21">
      <c r="B588" s="24"/>
      <c r="C588" s="24"/>
      <c r="D588" s="24"/>
      <c r="E588" s="24"/>
      <c r="F588" s="24"/>
    </row>
    <row r="589" spans="2:6" ht="21">
      <c r="B589" s="24"/>
      <c r="C589" s="24"/>
      <c r="D589" s="24"/>
      <c r="E589" s="24"/>
      <c r="F589" s="24"/>
    </row>
    <row r="590" spans="2:6" ht="21">
      <c r="B590" s="24"/>
      <c r="C590" s="24"/>
      <c r="D590" s="24"/>
      <c r="E590" s="24"/>
      <c r="F590" s="24"/>
    </row>
    <row r="591" spans="2:6" ht="21">
      <c r="B591" s="24"/>
      <c r="C591" s="24"/>
      <c r="D591" s="24"/>
      <c r="E591" s="24"/>
      <c r="F591" s="24"/>
    </row>
    <row r="592" spans="2:6" ht="21">
      <c r="B592" s="24"/>
      <c r="C592" s="24"/>
      <c r="D592" s="24"/>
      <c r="E592" s="24"/>
      <c r="F592" s="24"/>
    </row>
    <row r="593" spans="2:6" ht="21">
      <c r="B593" s="24"/>
      <c r="C593" s="24"/>
      <c r="D593" s="24"/>
      <c r="E593" s="24"/>
      <c r="F593" s="24"/>
    </row>
    <row r="594" spans="2:6" ht="21">
      <c r="B594" s="24"/>
      <c r="C594" s="24"/>
      <c r="D594" s="24"/>
      <c r="E594" s="24"/>
      <c r="F594" s="24"/>
    </row>
    <row r="595" spans="2:6" ht="21">
      <c r="B595" s="24"/>
      <c r="C595" s="24"/>
      <c r="D595" s="24"/>
      <c r="E595" s="24"/>
      <c r="F595" s="24"/>
    </row>
    <row r="596" spans="2:6" ht="21">
      <c r="B596" s="24"/>
      <c r="C596" s="24"/>
      <c r="D596" s="24"/>
      <c r="E596" s="24"/>
      <c r="F596" s="24"/>
    </row>
    <row r="597" spans="2:6" ht="21">
      <c r="B597" s="24"/>
      <c r="C597" s="24"/>
      <c r="D597" s="24"/>
      <c r="E597" s="24"/>
      <c r="F597" s="24"/>
    </row>
    <row r="598" spans="2:6" ht="21">
      <c r="B598" s="24"/>
      <c r="C598" s="24"/>
      <c r="D598" s="24"/>
      <c r="E598" s="24"/>
      <c r="F598" s="24"/>
    </row>
    <row r="599" spans="2:6" ht="21">
      <c r="B599" s="24"/>
      <c r="C599" s="24"/>
      <c r="D599" s="24"/>
      <c r="E599" s="24"/>
      <c r="F599" s="24"/>
    </row>
    <row r="600" spans="2:6" ht="21">
      <c r="B600" s="24"/>
      <c r="C600" s="24"/>
      <c r="D600" s="24"/>
      <c r="E600" s="24"/>
      <c r="F600" s="24"/>
    </row>
    <row r="601" spans="2:6" ht="21">
      <c r="B601" s="24"/>
      <c r="C601" s="24"/>
      <c r="D601" s="24"/>
      <c r="E601" s="24"/>
      <c r="F601" s="24"/>
    </row>
    <row r="602" spans="2:6" ht="21">
      <c r="B602" s="24"/>
      <c r="C602" s="24"/>
      <c r="D602" s="24"/>
      <c r="E602" s="24"/>
      <c r="F602" s="24"/>
    </row>
    <row r="603" spans="2:6" ht="21">
      <c r="B603" s="24"/>
      <c r="C603" s="24"/>
      <c r="D603" s="24"/>
      <c r="E603" s="24"/>
      <c r="F603" s="24"/>
    </row>
    <row r="604" spans="2:6" ht="21">
      <c r="B604" s="24"/>
      <c r="C604" s="24"/>
      <c r="D604" s="24"/>
      <c r="E604" s="24"/>
      <c r="F604" s="24"/>
    </row>
    <row r="605" spans="2:6" ht="21">
      <c r="B605" s="24"/>
      <c r="C605" s="24"/>
      <c r="D605" s="24"/>
      <c r="E605" s="24"/>
      <c r="F605" s="24"/>
    </row>
    <row r="606" spans="2:6" ht="21">
      <c r="B606" s="24"/>
      <c r="C606" s="24"/>
      <c r="D606" s="24"/>
      <c r="E606" s="24"/>
      <c r="F606" s="24"/>
    </row>
    <row r="607" spans="2:6" ht="21">
      <c r="B607" s="24"/>
      <c r="C607" s="24"/>
      <c r="D607" s="24"/>
      <c r="E607" s="24"/>
      <c r="F607" s="24"/>
    </row>
    <row r="608" spans="2:6" ht="21">
      <c r="B608" s="24"/>
      <c r="C608" s="24"/>
      <c r="D608" s="24"/>
      <c r="E608" s="24"/>
      <c r="F608" s="24"/>
    </row>
    <row r="609" spans="2:6" ht="21">
      <c r="B609" s="24"/>
      <c r="C609" s="24"/>
      <c r="D609" s="24"/>
      <c r="E609" s="24"/>
      <c r="F609" s="24"/>
    </row>
    <row r="610" spans="2:6" ht="21">
      <c r="B610" s="24"/>
      <c r="C610" s="24"/>
      <c r="D610" s="24"/>
      <c r="E610" s="24"/>
      <c r="F610" s="24"/>
    </row>
    <row r="611" spans="2:6" ht="21">
      <c r="B611" s="24"/>
      <c r="C611" s="24"/>
      <c r="D611" s="24"/>
      <c r="E611" s="24"/>
      <c r="F611" s="24"/>
    </row>
    <row r="612" spans="2:6" ht="21">
      <c r="B612" s="24"/>
      <c r="C612" s="24"/>
      <c r="D612" s="24"/>
      <c r="E612" s="24"/>
      <c r="F612" s="24"/>
    </row>
    <row r="613" spans="2:6" ht="21">
      <c r="B613" s="24"/>
      <c r="C613" s="24"/>
      <c r="D613" s="24"/>
      <c r="E613" s="24"/>
      <c r="F613" s="24"/>
    </row>
    <row r="614" spans="2:6" ht="21">
      <c r="B614" s="24"/>
      <c r="C614" s="24"/>
      <c r="D614" s="24"/>
      <c r="E614" s="24"/>
      <c r="F614" s="24"/>
    </row>
    <row r="615" spans="2:6" ht="21">
      <c r="B615" s="24"/>
      <c r="C615" s="24"/>
      <c r="D615" s="24"/>
      <c r="E615" s="24"/>
      <c r="F615" s="24"/>
    </row>
    <row r="616" spans="2:6" ht="21">
      <c r="B616" s="24"/>
      <c r="C616" s="24"/>
      <c r="D616" s="24"/>
      <c r="E616" s="24"/>
      <c r="F616" s="24"/>
    </row>
    <row r="617" spans="2:6" ht="21">
      <c r="B617" s="24"/>
      <c r="C617" s="24"/>
      <c r="D617" s="24"/>
      <c r="E617" s="24"/>
      <c r="F617" s="24"/>
    </row>
    <row r="618" spans="2:6" ht="21">
      <c r="B618" s="24"/>
      <c r="C618" s="24"/>
      <c r="D618" s="24"/>
      <c r="E618" s="24"/>
      <c r="F618" s="24"/>
    </row>
    <row r="619" spans="2:6" ht="21">
      <c r="B619" s="24"/>
      <c r="C619" s="24"/>
      <c r="D619" s="24"/>
      <c r="E619" s="24"/>
      <c r="F619" s="24"/>
    </row>
    <row r="620" spans="2:6" ht="21">
      <c r="B620" s="24"/>
      <c r="C620" s="24"/>
      <c r="D620" s="24"/>
      <c r="E620" s="24"/>
      <c r="F620" s="24"/>
    </row>
    <row r="621" spans="2:6" ht="21">
      <c r="B621" s="24"/>
      <c r="C621" s="24"/>
      <c r="D621" s="24"/>
      <c r="E621" s="24"/>
      <c r="F621" s="24"/>
    </row>
    <row r="622" spans="2:6" ht="21">
      <c r="B622" s="24"/>
      <c r="C622" s="24"/>
      <c r="D622" s="24"/>
      <c r="E622" s="24"/>
      <c r="F622" s="24"/>
    </row>
    <row r="623" spans="2:6" ht="21">
      <c r="B623" s="24"/>
      <c r="C623" s="24"/>
      <c r="D623" s="24"/>
      <c r="E623" s="24"/>
      <c r="F623" s="24"/>
    </row>
    <row r="624" spans="2:6" ht="21">
      <c r="B624" s="24"/>
      <c r="C624" s="24"/>
      <c r="D624" s="24"/>
      <c r="E624" s="24"/>
      <c r="F624" s="24"/>
    </row>
    <row r="625" spans="2:6" ht="21">
      <c r="B625" s="24"/>
      <c r="C625" s="24"/>
      <c r="D625" s="24"/>
      <c r="E625" s="24"/>
      <c r="F625" s="24"/>
    </row>
    <row r="626" spans="2:6" ht="21">
      <c r="B626" s="24"/>
      <c r="C626" s="24"/>
      <c r="D626" s="24"/>
      <c r="E626" s="24"/>
      <c r="F626" s="24"/>
    </row>
    <row r="627" spans="2:6" ht="21">
      <c r="B627" s="24"/>
      <c r="C627" s="24"/>
      <c r="D627" s="24"/>
      <c r="E627" s="24"/>
      <c r="F627" s="24"/>
    </row>
    <row r="628" spans="2:6" ht="21">
      <c r="B628" s="24"/>
      <c r="C628" s="24"/>
      <c r="D628" s="24"/>
      <c r="E628" s="24"/>
      <c r="F628" s="24"/>
    </row>
    <row r="629" spans="2:6" ht="21">
      <c r="B629" s="24"/>
      <c r="C629" s="24"/>
      <c r="D629" s="24"/>
      <c r="E629" s="24"/>
      <c r="F629" s="24"/>
    </row>
    <row r="630" spans="2:6" ht="21">
      <c r="B630" s="24"/>
      <c r="C630" s="24"/>
      <c r="D630" s="24"/>
      <c r="E630" s="24"/>
      <c r="F630" s="24"/>
    </row>
    <row r="631" spans="2:6" ht="21">
      <c r="B631" s="24"/>
      <c r="C631" s="24"/>
      <c r="D631" s="24"/>
      <c r="E631" s="24"/>
      <c r="F631" s="24"/>
    </row>
    <row r="632" spans="2:6" ht="21">
      <c r="B632" s="24"/>
      <c r="C632" s="24"/>
      <c r="D632" s="24"/>
      <c r="E632" s="24"/>
      <c r="F632" s="24"/>
    </row>
    <row r="633" spans="2:6" ht="21">
      <c r="B633" s="24"/>
      <c r="C633" s="24"/>
      <c r="D633" s="24"/>
      <c r="E633" s="24"/>
      <c r="F633" s="24"/>
    </row>
    <row r="634" spans="2:6" ht="21">
      <c r="B634" s="24"/>
      <c r="C634" s="24"/>
      <c r="D634" s="24"/>
      <c r="E634" s="24"/>
      <c r="F634" s="24"/>
    </row>
    <row r="635" spans="2:6" ht="21">
      <c r="B635" s="24"/>
      <c r="C635" s="24"/>
      <c r="D635" s="24"/>
      <c r="E635" s="24"/>
      <c r="F635" s="24"/>
    </row>
    <row r="636" spans="2:6" ht="21">
      <c r="B636" s="24"/>
      <c r="C636" s="24"/>
      <c r="D636" s="24"/>
      <c r="E636" s="24"/>
      <c r="F636" s="24"/>
    </row>
    <row r="637" spans="2:6" ht="21">
      <c r="B637" s="24"/>
      <c r="C637" s="24"/>
      <c r="D637" s="24"/>
      <c r="E637" s="24"/>
      <c r="F637" s="24"/>
    </row>
    <row r="638" spans="2:6" ht="21">
      <c r="B638" s="24"/>
      <c r="C638" s="24"/>
      <c r="D638" s="24"/>
      <c r="E638" s="24"/>
      <c r="F638" s="24"/>
    </row>
    <row r="639" spans="2:6" ht="21">
      <c r="B639" s="24"/>
      <c r="C639" s="24"/>
      <c r="D639" s="24"/>
      <c r="E639" s="24"/>
      <c r="F639" s="24"/>
    </row>
    <row r="640" spans="2:6" ht="21">
      <c r="B640" s="24"/>
      <c r="C640" s="24"/>
      <c r="D640" s="24"/>
      <c r="E640" s="24"/>
      <c r="F640" s="24"/>
    </row>
    <row r="641" spans="2:6" ht="21">
      <c r="B641" s="24"/>
      <c r="C641" s="24"/>
      <c r="D641" s="24"/>
      <c r="E641" s="24"/>
      <c r="F641" s="24"/>
    </row>
    <row r="642" spans="2:6" ht="21">
      <c r="B642" s="24"/>
      <c r="C642" s="24"/>
      <c r="D642" s="24"/>
      <c r="E642" s="24"/>
      <c r="F642" s="24"/>
    </row>
    <row r="643" spans="2:6" ht="21">
      <c r="B643" s="24"/>
      <c r="C643" s="24"/>
      <c r="D643" s="24"/>
      <c r="E643" s="24"/>
      <c r="F643" s="24"/>
    </row>
    <row r="644" spans="2:6" ht="21">
      <c r="B644" s="24"/>
      <c r="C644" s="24"/>
      <c r="D644" s="24"/>
      <c r="E644" s="24"/>
      <c r="F644" s="24"/>
    </row>
    <row r="645" spans="2:6" ht="21">
      <c r="B645" s="24"/>
      <c r="C645" s="24"/>
      <c r="D645" s="24"/>
      <c r="E645" s="24"/>
      <c r="F645" s="24"/>
    </row>
    <row r="646" spans="2:6" ht="21">
      <c r="B646" s="24"/>
      <c r="C646" s="24"/>
      <c r="D646" s="24"/>
      <c r="E646" s="24"/>
      <c r="F646" s="24"/>
    </row>
    <row r="647" spans="2:6" ht="21">
      <c r="B647" s="24"/>
      <c r="C647" s="24"/>
      <c r="D647" s="24"/>
      <c r="E647" s="24"/>
      <c r="F647" s="24"/>
    </row>
    <row r="648" spans="2:6" ht="21">
      <c r="B648" s="24"/>
      <c r="C648" s="24"/>
      <c r="D648" s="24"/>
      <c r="E648" s="24"/>
      <c r="F648" s="24"/>
    </row>
    <row r="649" spans="2:6" ht="21">
      <c r="B649" s="24"/>
      <c r="C649" s="24"/>
      <c r="D649" s="24"/>
      <c r="E649" s="24"/>
      <c r="F649" s="24"/>
    </row>
    <row r="650" spans="2:6" ht="21">
      <c r="B650" s="24"/>
      <c r="C650" s="24"/>
      <c r="D650" s="24"/>
      <c r="E650" s="24"/>
      <c r="F650" s="24"/>
    </row>
    <row r="651" spans="2:6" ht="21">
      <c r="B651" s="24"/>
      <c r="C651" s="24"/>
      <c r="D651" s="24"/>
      <c r="E651" s="24"/>
      <c r="F651" s="24"/>
    </row>
    <row r="652" spans="2:6" ht="21">
      <c r="B652" s="24"/>
      <c r="C652" s="24"/>
      <c r="D652" s="24"/>
      <c r="E652" s="24"/>
      <c r="F652" s="24"/>
    </row>
    <row r="653" spans="2:6" ht="21">
      <c r="B653" s="24"/>
      <c r="C653" s="24"/>
      <c r="D653" s="24"/>
      <c r="E653" s="24"/>
      <c r="F653" s="24"/>
    </row>
    <row r="654" spans="2:6" ht="21">
      <c r="B654" s="24"/>
      <c r="C654" s="24"/>
      <c r="D654" s="24"/>
      <c r="E654" s="24"/>
      <c r="F654" s="24"/>
    </row>
    <row r="655" spans="2:6" ht="21">
      <c r="B655" s="24"/>
      <c r="C655" s="24"/>
      <c r="D655" s="24"/>
      <c r="E655" s="24"/>
      <c r="F655" s="24"/>
    </row>
    <row r="656" spans="2:6" ht="21">
      <c r="B656" s="24"/>
      <c r="C656" s="24"/>
      <c r="D656" s="24"/>
      <c r="E656" s="24"/>
      <c r="F656" s="24"/>
    </row>
    <row r="657" spans="2:6" ht="21">
      <c r="B657" s="24"/>
      <c r="C657" s="24"/>
      <c r="D657" s="24"/>
      <c r="E657" s="24"/>
      <c r="F657" s="24"/>
    </row>
    <row r="658" spans="2:6" ht="21">
      <c r="B658" s="24"/>
      <c r="C658" s="24"/>
      <c r="D658" s="24"/>
      <c r="E658" s="24"/>
      <c r="F658" s="24"/>
    </row>
    <row r="659" spans="2:6" ht="21">
      <c r="B659" s="24"/>
      <c r="C659" s="24"/>
      <c r="D659" s="24"/>
      <c r="E659" s="24"/>
      <c r="F659" s="24"/>
    </row>
    <row r="660" spans="2:6" ht="21">
      <c r="B660" s="24"/>
      <c r="C660" s="24"/>
      <c r="D660" s="24"/>
      <c r="E660" s="24"/>
      <c r="F660" s="24"/>
    </row>
    <row r="661" spans="2:6" ht="21">
      <c r="B661" s="24"/>
      <c r="C661" s="24"/>
      <c r="D661" s="24"/>
      <c r="E661" s="24"/>
      <c r="F661" s="24"/>
    </row>
    <row r="662" spans="2:6" ht="21">
      <c r="B662" s="24"/>
      <c r="C662" s="24"/>
      <c r="D662" s="24"/>
      <c r="E662" s="24"/>
      <c r="F662" s="24"/>
    </row>
    <row r="663" spans="2:6" ht="21">
      <c r="B663" s="24"/>
      <c r="C663" s="24"/>
      <c r="D663" s="24"/>
      <c r="E663" s="24"/>
      <c r="F663" s="24"/>
    </row>
    <row r="664" spans="2:6" ht="21">
      <c r="B664" s="24"/>
      <c r="C664" s="24"/>
      <c r="D664" s="24"/>
      <c r="E664" s="24"/>
      <c r="F664" s="24"/>
    </row>
    <row r="665" spans="2:6" ht="21">
      <c r="B665" s="24"/>
      <c r="C665" s="24"/>
      <c r="D665" s="24"/>
      <c r="E665" s="24"/>
      <c r="F665" s="24"/>
    </row>
    <row r="666" spans="2:6" ht="21">
      <c r="B666" s="24"/>
      <c r="C666" s="24"/>
      <c r="D666" s="24"/>
      <c r="E666" s="24"/>
      <c r="F666" s="24"/>
    </row>
    <row r="667" spans="2:6" ht="21">
      <c r="B667" s="24"/>
      <c r="C667" s="24"/>
      <c r="D667" s="24"/>
      <c r="E667" s="24"/>
      <c r="F667" s="24"/>
    </row>
    <row r="668" spans="2:6" ht="21">
      <c r="B668" s="24"/>
      <c r="C668" s="24"/>
      <c r="D668" s="24"/>
      <c r="E668" s="24"/>
      <c r="F668" s="24"/>
    </row>
    <row r="669" spans="2:6" ht="21">
      <c r="B669" s="24"/>
      <c r="C669" s="24"/>
      <c r="D669" s="24"/>
      <c r="E669" s="24"/>
      <c r="F669" s="24"/>
    </row>
    <row r="670" spans="2:6" ht="21">
      <c r="B670" s="24"/>
      <c r="C670" s="24"/>
      <c r="D670" s="24"/>
      <c r="E670" s="24"/>
      <c r="F670" s="24"/>
    </row>
    <row r="671" spans="2:6" ht="21">
      <c r="B671" s="24"/>
      <c r="C671" s="24"/>
      <c r="D671" s="24"/>
      <c r="E671" s="24"/>
      <c r="F671" s="24"/>
    </row>
    <row r="672" spans="2:6" ht="21">
      <c r="B672" s="24"/>
      <c r="C672" s="24"/>
      <c r="D672" s="24"/>
      <c r="E672" s="24"/>
      <c r="F672" s="24"/>
    </row>
    <row r="673" spans="2:6" ht="21">
      <c r="B673" s="24"/>
      <c r="C673" s="24"/>
      <c r="D673" s="24"/>
      <c r="E673" s="24"/>
      <c r="F673" s="24"/>
    </row>
    <row r="674" spans="2:6" ht="21">
      <c r="B674" s="24"/>
      <c r="C674" s="24"/>
      <c r="D674" s="24"/>
      <c r="E674" s="24"/>
      <c r="F674" s="24"/>
    </row>
    <row r="675" spans="2:6" ht="21">
      <c r="B675" s="24"/>
      <c r="C675" s="24"/>
      <c r="D675" s="24"/>
      <c r="E675" s="24"/>
      <c r="F675" s="24"/>
    </row>
    <row r="676" spans="2:6" ht="21">
      <c r="B676" s="24"/>
      <c r="C676" s="24"/>
      <c r="D676" s="24"/>
      <c r="E676" s="24"/>
      <c r="F676" s="24"/>
    </row>
    <row r="677" spans="2:6" ht="21">
      <c r="B677" s="24"/>
      <c r="C677" s="24"/>
      <c r="D677" s="24"/>
      <c r="E677" s="24"/>
      <c r="F677" s="24"/>
    </row>
    <row r="678" spans="2:6" ht="21">
      <c r="B678" s="24"/>
      <c r="C678" s="24"/>
      <c r="D678" s="24"/>
      <c r="E678" s="24"/>
      <c r="F678" s="24"/>
    </row>
    <row r="679" spans="2:6" ht="21">
      <c r="B679" s="24"/>
      <c r="C679" s="24"/>
      <c r="D679" s="24"/>
      <c r="E679" s="24"/>
      <c r="F679" s="24"/>
    </row>
    <row r="680" spans="2:6" ht="21">
      <c r="B680" s="24"/>
      <c r="C680" s="24"/>
      <c r="D680" s="24"/>
      <c r="E680" s="24"/>
      <c r="F680" s="24"/>
    </row>
    <row r="681" spans="2:6" ht="21">
      <c r="B681" s="24"/>
      <c r="C681" s="24"/>
      <c r="D681" s="24"/>
      <c r="E681" s="24"/>
      <c r="F681" s="24"/>
    </row>
    <row r="682" spans="2:6" ht="21">
      <c r="B682" s="24"/>
      <c r="C682" s="24"/>
      <c r="D682" s="24"/>
      <c r="E682" s="24"/>
      <c r="F682" s="24"/>
    </row>
    <row r="683" spans="2:6" ht="21">
      <c r="B683" s="24"/>
      <c r="C683" s="24"/>
      <c r="D683" s="24"/>
      <c r="E683" s="24"/>
      <c r="F683" s="24"/>
    </row>
    <row r="684" spans="2:6" ht="21">
      <c r="B684" s="24"/>
      <c r="C684" s="24"/>
      <c r="D684" s="24"/>
      <c r="E684" s="24"/>
      <c r="F684" s="24"/>
    </row>
    <row r="685" spans="2:6" ht="21">
      <c r="B685" s="24"/>
      <c r="C685" s="24"/>
      <c r="D685" s="24"/>
      <c r="E685" s="24"/>
      <c r="F685" s="24"/>
    </row>
    <row r="686" spans="2:6" ht="21">
      <c r="B686" s="24"/>
      <c r="C686" s="24"/>
      <c r="D686" s="24"/>
      <c r="E686" s="24"/>
      <c r="F686" s="24"/>
    </row>
    <row r="687" spans="2:6" ht="21">
      <c r="B687" s="24"/>
      <c r="C687" s="24"/>
      <c r="D687" s="24"/>
      <c r="E687" s="24"/>
      <c r="F687" s="24"/>
    </row>
    <row r="688" spans="2:6" ht="21">
      <c r="B688" s="24"/>
      <c r="C688" s="24"/>
      <c r="D688" s="24"/>
      <c r="E688" s="24"/>
      <c r="F688" s="24"/>
    </row>
    <row r="689" spans="2:6" ht="21">
      <c r="B689" s="24"/>
      <c r="C689" s="24"/>
      <c r="D689" s="24"/>
      <c r="E689" s="24"/>
      <c r="F689" s="24"/>
    </row>
    <row r="690" spans="2:6" ht="21">
      <c r="B690" s="24"/>
      <c r="C690" s="24"/>
      <c r="D690" s="24"/>
      <c r="E690" s="24"/>
      <c r="F690" s="24"/>
    </row>
    <row r="691" spans="2:6" ht="21">
      <c r="B691" s="24"/>
      <c r="C691" s="24"/>
      <c r="D691" s="24"/>
      <c r="E691" s="24"/>
      <c r="F691" s="24"/>
    </row>
    <row r="692" spans="2:6" ht="21">
      <c r="B692" s="24"/>
      <c r="C692" s="24"/>
      <c r="D692" s="24"/>
      <c r="E692" s="24"/>
      <c r="F692" s="24"/>
    </row>
    <row r="693" spans="2:6" ht="21">
      <c r="B693" s="24"/>
      <c r="C693" s="24"/>
      <c r="D693" s="24"/>
      <c r="E693" s="24"/>
      <c r="F693" s="24"/>
    </row>
    <row r="694" spans="2:6" ht="21">
      <c r="B694" s="24"/>
      <c r="C694" s="24"/>
      <c r="D694" s="24"/>
      <c r="E694" s="24"/>
      <c r="F694" s="24"/>
    </row>
    <row r="695" spans="2:6" ht="21">
      <c r="B695" s="24"/>
      <c r="C695" s="24"/>
      <c r="D695" s="24"/>
      <c r="E695" s="24"/>
      <c r="F695" s="24"/>
    </row>
    <row r="696" spans="2:6" ht="21">
      <c r="B696" s="24"/>
      <c r="C696" s="24"/>
      <c r="D696" s="24"/>
      <c r="E696" s="24"/>
      <c r="F696" s="24"/>
    </row>
    <row r="697" spans="2:6" ht="21">
      <c r="B697" s="24"/>
      <c r="C697" s="24"/>
      <c r="D697" s="24"/>
      <c r="E697" s="24"/>
      <c r="F697" s="24"/>
    </row>
    <row r="698" spans="2:6" ht="21">
      <c r="B698" s="24"/>
      <c r="C698" s="24"/>
      <c r="D698" s="24"/>
      <c r="E698" s="24"/>
      <c r="F698" s="24"/>
    </row>
    <row r="699" spans="2:6" ht="21">
      <c r="B699" s="24"/>
      <c r="C699" s="24"/>
      <c r="D699" s="24"/>
      <c r="E699" s="24"/>
      <c r="F699" s="24"/>
    </row>
    <row r="700" spans="2:6" ht="21">
      <c r="B700" s="24"/>
      <c r="C700" s="24"/>
      <c r="D700" s="24"/>
      <c r="E700" s="24"/>
      <c r="F700" s="24"/>
    </row>
    <row r="701" spans="2:6" ht="21">
      <c r="B701" s="24"/>
      <c r="C701" s="24"/>
      <c r="D701" s="24"/>
      <c r="E701" s="24"/>
      <c r="F701" s="24"/>
    </row>
    <row r="702" spans="2:6" ht="21">
      <c r="B702" s="24"/>
      <c r="C702" s="24"/>
      <c r="D702" s="24"/>
      <c r="E702" s="24"/>
      <c r="F702" s="24"/>
    </row>
    <row r="703" spans="2:6" ht="21">
      <c r="B703" s="24"/>
      <c r="C703" s="24"/>
      <c r="D703" s="24"/>
      <c r="E703" s="24"/>
      <c r="F703" s="24"/>
    </row>
    <row r="704" spans="2:6" ht="21">
      <c r="B704" s="24"/>
      <c r="C704" s="24"/>
      <c r="D704" s="24"/>
      <c r="E704" s="24"/>
      <c r="F704" s="24"/>
    </row>
    <row r="705" spans="2:6" ht="21">
      <c r="B705" s="24"/>
      <c r="C705" s="24"/>
      <c r="D705" s="24"/>
      <c r="E705" s="24"/>
      <c r="F705" s="24"/>
    </row>
    <row r="706" spans="2:6" ht="21">
      <c r="B706" s="24"/>
      <c r="C706" s="24"/>
      <c r="D706" s="24"/>
      <c r="E706" s="24"/>
      <c r="F706" s="24"/>
    </row>
    <row r="707" spans="2:6" ht="21">
      <c r="B707" s="24"/>
      <c r="C707" s="24"/>
      <c r="D707" s="24"/>
      <c r="E707" s="24"/>
      <c r="F707" s="24"/>
    </row>
    <row r="708" spans="2:6" ht="21">
      <c r="B708" s="24"/>
      <c r="C708" s="24"/>
      <c r="D708" s="24"/>
      <c r="E708" s="24"/>
      <c r="F708" s="24"/>
    </row>
    <row r="709" spans="2:6" ht="21">
      <c r="B709" s="24"/>
      <c r="C709" s="24"/>
      <c r="D709" s="24"/>
      <c r="E709" s="24"/>
      <c r="F709" s="24"/>
    </row>
    <row r="710" spans="2:6" ht="21">
      <c r="B710" s="24"/>
      <c r="C710" s="24"/>
      <c r="D710" s="24"/>
      <c r="E710" s="24"/>
      <c r="F710" s="24"/>
    </row>
    <row r="711" spans="2:6" ht="21">
      <c r="B711" s="24"/>
      <c r="C711" s="24"/>
      <c r="D711" s="24"/>
      <c r="E711" s="24"/>
      <c r="F711" s="24"/>
    </row>
    <row r="712" spans="2:6" ht="21">
      <c r="B712" s="24"/>
      <c r="C712" s="24"/>
      <c r="D712" s="24"/>
      <c r="E712" s="24"/>
      <c r="F712" s="24"/>
    </row>
    <row r="713" spans="2:6" ht="21">
      <c r="B713" s="24"/>
      <c r="C713" s="24"/>
      <c r="D713" s="24"/>
      <c r="E713" s="24"/>
      <c r="F713" s="24"/>
    </row>
    <row r="714" spans="2:6" ht="21">
      <c r="B714" s="24"/>
      <c r="C714" s="24"/>
      <c r="D714" s="24"/>
      <c r="E714" s="24"/>
      <c r="F714" s="24"/>
    </row>
    <row r="715" spans="2:6" ht="21">
      <c r="B715" s="24"/>
      <c r="C715" s="24"/>
      <c r="D715" s="24"/>
      <c r="E715" s="24"/>
      <c r="F715" s="24"/>
    </row>
    <row r="716" spans="2:6" ht="21">
      <c r="B716" s="24"/>
      <c r="C716" s="24"/>
      <c r="D716" s="24"/>
      <c r="E716" s="24"/>
      <c r="F716" s="24"/>
    </row>
    <row r="717" spans="2:6" ht="21">
      <c r="B717" s="24"/>
      <c r="C717" s="24"/>
      <c r="D717" s="24"/>
      <c r="E717" s="24"/>
      <c r="F717" s="24"/>
    </row>
    <row r="718" spans="2:6" ht="21">
      <c r="B718" s="24"/>
      <c r="C718" s="24"/>
      <c r="D718" s="24"/>
      <c r="E718" s="24"/>
      <c r="F718" s="24"/>
    </row>
    <row r="719" spans="2:6" ht="21">
      <c r="B719" s="24"/>
      <c r="C719" s="24"/>
      <c r="D719" s="24"/>
      <c r="E719" s="24"/>
      <c r="F719" s="24"/>
    </row>
    <row r="720" spans="2:6" ht="21">
      <c r="B720" s="24"/>
      <c r="C720" s="24"/>
      <c r="D720" s="24"/>
      <c r="E720" s="24"/>
      <c r="F720" s="24"/>
    </row>
    <row r="721" spans="2:6" ht="21">
      <c r="B721" s="24"/>
      <c r="C721" s="24"/>
      <c r="D721" s="24"/>
      <c r="E721" s="24"/>
      <c r="F721" s="24"/>
    </row>
    <row r="722" spans="2:6" ht="21">
      <c r="B722" s="24"/>
      <c r="C722" s="24"/>
      <c r="D722" s="24"/>
      <c r="E722" s="24"/>
      <c r="F722" s="24"/>
    </row>
    <row r="723" spans="2:6" ht="21">
      <c r="B723" s="24"/>
      <c r="C723" s="24"/>
      <c r="D723" s="24"/>
      <c r="E723" s="24"/>
      <c r="F723" s="24"/>
    </row>
    <row r="724" spans="2:6" ht="21">
      <c r="B724" s="24"/>
      <c r="C724" s="24"/>
      <c r="D724" s="24"/>
      <c r="E724" s="24"/>
      <c r="F724" s="24"/>
    </row>
    <row r="725" spans="2:6" ht="21">
      <c r="B725" s="24"/>
      <c r="C725" s="24"/>
      <c r="D725" s="24"/>
      <c r="E725" s="24"/>
      <c r="F725" s="24"/>
    </row>
    <row r="726" spans="2:6" ht="21">
      <c r="B726" s="24"/>
      <c r="C726" s="24"/>
      <c r="D726" s="24"/>
      <c r="E726" s="24"/>
      <c r="F726" s="24"/>
    </row>
    <row r="727" spans="2:6" ht="21">
      <c r="B727" s="24"/>
      <c r="C727" s="24"/>
      <c r="D727" s="24"/>
      <c r="E727" s="24"/>
      <c r="F727" s="24"/>
    </row>
    <row r="728" spans="2:6" ht="21">
      <c r="B728" s="24"/>
      <c r="C728" s="24"/>
      <c r="D728" s="24"/>
      <c r="E728" s="24"/>
      <c r="F728" s="24"/>
    </row>
    <row r="729" spans="2:6" ht="21">
      <c r="B729" s="24"/>
      <c r="C729" s="24"/>
      <c r="D729" s="24"/>
      <c r="E729" s="24"/>
      <c r="F729" s="24"/>
    </row>
    <row r="730" spans="2:6" ht="21">
      <c r="B730" s="24"/>
      <c r="C730" s="24"/>
      <c r="D730" s="24"/>
      <c r="E730" s="24"/>
      <c r="F730" s="24"/>
    </row>
    <row r="731" spans="2:6" ht="21">
      <c r="B731" s="24"/>
      <c r="C731" s="24"/>
      <c r="D731" s="24"/>
      <c r="E731" s="24"/>
      <c r="F731" s="24"/>
    </row>
    <row r="732" spans="2:6" ht="21">
      <c r="B732" s="24"/>
      <c r="C732" s="24"/>
      <c r="D732" s="24"/>
      <c r="E732" s="24"/>
      <c r="F732" s="24"/>
    </row>
    <row r="733" spans="2:6" ht="21">
      <c r="B733" s="24"/>
      <c r="C733" s="24"/>
      <c r="D733" s="24"/>
      <c r="E733" s="24"/>
      <c r="F733" s="24"/>
    </row>
    <row r="734" spans="2:6" ht="21">
      <c r="B734" s="24"/>
      <c r="C734" s="24"/>
      <c r="D734" s="24"/>
      <c r="E734" s="24"/>
      <c r="F734" s="24"/>
    </row>
    <row r="735" spans="2:6" ht="21">
      <c r="B735" s="24"/>
      <c r="C735" s="24"/>
      <c r="D735" s="24"/>
      <c r="E735" s="24"/>
      <c r="F735" s="24"/>
    </row>
    <row r="736" spans="2:6" ht="21">
      <c r="B736" s="24"/>
      <c r="C736" s="24"/>
      <c r="D736" s="24"/>
      <c r="E736" s="24"/>
      <c r="F736" s="24"/>
    </row>
    <row r="737" spans="2:6" ht="21">
      <c r="B737" s="24"/>
      <c r="C737" s="24"/>
      <c r="D737" s="24"/>
      <c r="E737" s="24"/>
      <c r="F737" s="24"/>
    </row>
    <row r="738" spans="2:6" ht="21">
      <c r="B738" s="24"/>
      <c r="C738" s="24"/>
      <c r="D738" s="24"/>
      <c r="E738" s="24"/>
      <c r="F738" s="24"/>
    </row>
    <row r="739" spans="2:6" ht="21">
      <c r="B739" s="24"/>
      <c r="C739" s="24"/>
      <c r="D739" s="24"/>
      <c r="E739" s="24"/>
      <c r="F739" s="24"/>
    </row>
    <row r="740" spans="2:6" ht="21">
      <c r="B740" s="24"/>
      <c r="C740" s="24"/>
      <c r="D740" s="24"/>
      <c r="E740" s="24"/>
      <c r="F740" s="24"/>
    </row>
    <row r="741" spans="2:6" ht="21">
      <c r="B741" s="24"/>
      <c r="C741" s="24"/>
      <c r="D741" s="24"/>
      <c r="E741" s="24"/>
      <c r="F741" s="24"/>
    </row>
    <row r="742" spans="2:6" ht="21">
      <c r="B742" s="24"/>
      <c r="C742" s="24"/>
      <c r="D742" s="24"/>
      <c r="E742" s="24"/>
      <c r="F742" s="24"/>
    </row>
    <row r="743" spans="2:6" ht="21">
      <c r="B743" s="24"/>
      <c r="C743" s="24"/>
      <c r="D743" s="24"/>
      <c r="E743" s="24"/>
      <c r="F743" s="24"/>
    </row>
    <row r="744" spans="2:6" ht="21">
      <c r="B744" s="24"/>
      <c r="C744" s="24"/>
      <c r="D744" s="24"/>
      <c r="E744" s="24"/>
      <c r="F744" s="24"/>
    </row>
    <row r="745" spans="2:6" ht="21">
      <c r="B745" s="24"/>
      <c r="C745" s="24"/>
      <c r="D745" s="24"/>
      <c r="E745" s="24"/>
      <c r="F745" s="24"/>
    </row>
    <row r="746" spans="2:6" ht="21">
      <c r="B746" s="24"/>
      <c r="C746" s="24"/>
      <c r="D746" s="24"/>
      <c r="E746" s="24"/>
      <c r="F746" s="24"/>
    </row>
    <row r="747" spans="2:6" ht="21">
      <c r="B747" s="24"/>
      <c r="C747" s="24"/>
      <c r="D747" s="24"/>
      <c r="E747" s="24"/>
      <c r="F747" s="24"/>
    </row>
    <row r="748" spans="2:6" ht="21">
      <c r="B748" s="24"/>
      <c r="C748" s="24"/>
      <c r="D748" s="24"/>
      <c r="E748" s="24"/>
      <c r="F748" s="24"/>
    </row>
    <row r="749" spans="2:6" ht="21">
      <c r="B749" s="24"/>
      <c r="C749" s="24"/>
      <c r="D749" s="24"/>
      <c r="E749" s="24"/>
      <c r="F749" s="24"/>
    </row>
    <row r="750" spans="2:6" ht="21">
      <c r="B750" s="24"/>
      <c r="C750" s="24"/>
      <c r="D750" s="24"/>
      <c r="E750" s="24"/>
      <c r="F750" s="24"/>
    </row>
    <row r="751" spans="2:6" ht="21">
      <c r="B751" s="24"/>
      <c r="C751" s="24"/>
      <c r="D751" s="24"/>
      <c r="E751" s="24"/>
      <c r="F751" s="24"/>
    </row>
    <row r="752" spans="2:6" ht="21">
      <c r="B752" s="24"/>
      <c r="C752" s="24"/>
      <c r="D752" s="24"/>
      <c r="E752" s="24"/>
      <c r="F752" s="24"/>
    </row>
    <row r="753" spans="2:6" ht="21">
      <c r="B753" s="24"/>
      <c r="C753" s="24"/>
      <c r="D753" s="24"/>
      <c r="E753" s="24"/>
      <c r="F753" s="24"/>
    </row>
    <row r="754" spans="2:6" ht="21">
      <c r="B754" s="24"/>
      <c r="C754" s="24"/>
      <c r="D754" s="24"/>
      <c r="E754" s="24"/>
      <c r="F754" s="24"/>
    </row>
    <row r="755" spans="2:6" ht="21">
      <c r="B755" s="24"/>
      <c r="C755" s="24"/>
      <c r="D755" s="24"/>
      <c r="E755" s="24"/>
      <c r="F755" s="24"/>
    </row>
    <row r="756" spans="2:6" ht="21">
      <c r="B756" s="24"/>
      <c r="C756" s="24"/>
      <c r="D756" s="24"/>
      <c r="E756" s="24"/>
      <c r="F756" s="24"/>
    </row>
    <row r="757" spans="2:6" ht="21">
      <c r="B757" s="24"/>
      <c r="C757" s="24"/>
      <c r="D757" s="24"/>
      <c r="E757" s="24"/>
      <c r="F757" s="24"/>
    </row>
    <row r="758" spans="2:6" ht="21">
      <c r="B758" s="24"/>
      <c r="C758" s="24"/>
      <c r="D758" s="24"/>
      <c r="E758" s="24"/>
      <c r="F758" s="24"/>
    </row>
    <row r="759" spans="2:6" ht="21">
      <c r="B759" s="24"/>
      <c r="C759" s="24"/>
      <c r="D759" s="24"/>
      <c r="E759" s="24"/>
      <c r="F759" s="24"/>
    </row>
    <row r="760" spans="2:6" ht="21">
      <c r="B760" s="24"/>
      <c r="C760" s="24"/>
      <c r="D760" s="24"/>
      <c r="E760" s="24"/>
      <c r="F760" s="24"/>
    </row>
    <row r="761" spans="2:6" ht="21">
      <c r="B761" s="24"/>
      <c r="C761" s="24"/>
      <c r="D761" s="24"/>
      <c r="E761" s="24"/>
      <c r="F761" s="24"/>
    </row>
    <row r="762" spans="2:6" ht="21">
      <c r="B762" s="24"/>
      <c r="C762" s="24"/>
      <c r="D762" s="24"/>
      <c r="E762" s="24"/>
      <c r="F762" s="24"/>
    </row>
    <row r="763" spans="2:6" ht="21">
      <c r="B763" s="24"/>
      <c r="C763" s="24"/>
      <c r="D763" s="24"/>
      <c r="E763" s="24"/>
      <c r="F763" s="24"/>
    </row>
    <row r="764" spans="2:6" ht="21">
      <c r="B764" s="24"/>
      <c r="C764" s="24"/>
      <c r="D764" s="24"/>
      <c r="E764" s="24"/>
      <c r="F764" s="24"/>
    </row>
    <row r="765" spans="2:6" ht="21">
      <c r="B765" s="24"/>
      <c r="C765" s="24"/>
      <c r="D765" s="24"/>
      <c r="E765" s="24"/>
      <c r="F765" s="24"/>
    </row>
    <row r="766" spans="2:6" ht="21">
      <c r="B766" s="24"/>
      <c r="C766" s="24"/>
      <c r="D766" s="24"/>
      <c r="E766" s="24"/>
      <c r="F766" s="24"/>
    </row>
    <row r="767" spans="2:6" ht="21">
      <c r="B767" s="24"/>
      <c r="C767" s="24"/>
      <c r="D767" s="24"/>
      <c r="E767" s="24"/>
      <c r="F767" s="24"/>
    </row>
    <row r="768" spans="2:6" ht="21">
      <c r="B768" s="24"/>
      <c r="C768" s="24"/>
      <c r="D768" s="24"/>
      <c r="E768" s="24"/>
      <c r="F768" s="24"/>
    </row>
    <row r="769" spans="2:6" ht="21">
      <c r="B769" s="24"/>
      <c r="C769" s="24"/>
      <c r="D769" s="24"/>
      <c r="E769" s="24"/>
      <c r="F769" s="24"/>
    </row>
    <row r="770" spans="2:6" ht="21">
      <c r="B770" s="24"/>
      <c r="C770" s="24"/>
      <c r="D770" s="24"/>
      <c r="E770" s="24"/>
      <c r="F770" s="24"/>
    </row>
    <row r="771" spans="2:6" ht="21">
      <c r="B771" s="24"/>
      <c r="C771" s="24"/>
      <c r="D771" s="24"/>
      <c r="E771" s="24"/>
      <c r="F771" s="24"/>
    </row>
    <row r="772" spans="2:6" ht="21">
      <c r="B772" s="24"/>
      <c r="C772" s="24"/>
      <c r="D772" s="24"/>
      <c r="E772" s="24"/>
      <c r="F772" s="24"/>
    </row>
    <row r="773" spans="2:6" ht="21">
      <c r="B773" s="24"/>
      <c r="C773" s="24"/>
      <c r="D773" s="24"/>
      <c r="E773" s="24"/>
      <c r="F773" s="24"/>
    </row>
    <row r="774" spans="2:6" ht="21">
      <c r="B774" s="24"/>
      <c r="C774" s="24"/>
      <c r="D774" s="24"/>
      <c r="E774" s="24"/>
      <c r="F774" s="24"/>
    </row>
    <row r="775" spans="2:6" ht="21">
      <c r="B775" s="24"/>
      <c r="C775" s="24"/>
      <c r="D775" s="24"/>
      <c r="E775" s="24"/>
      <c r="F775" s="24"/>
    </row>
    <row r="776" spans="2:6" ht="21">
      <c r="B776" s="24"/>
      <c r="C776" s="24"/>
      <c r="D776" s="24"/>
      <c r="E776" s="24"/>
      <c r="F776" s="24"/>
    </row>
    <row r="777" spans="2:6" ht="21">
      <c r="B777" s="24"/>
      <c r="C777" s="24"/>
      <c r="D777" s="24"/>
      <c r="E777" s="24"/>
      <c r="F777" s="24"/>
    </row>
    <row r="778" spans="2:6" ht="21">
      <c r="B778" s="24"/>
      <c r="C778" s="24"/>
      <c r="D778" s="24"/>
      <c r="E778" s="24"/>
      <c r="F778" s="24"/>
    </row>
    <row r="779" spans="2:6" ht="21">
      <c r="B779" s="24"/>
      <c r="C779" s="24"/>
      <c r="D779" s="24"/>
      <c r="E779" s="24"/>
      <c r="F779" s="24"/>
    </row>
    <row r="780" spans="2:6" ht="21">
      <c r="B780" s="24"/>
      <c r="C780" s="24"/>
      <c r="D780" s="24"/>
      <c r="E780" s="24"/>
      <c r="F780" s="24"/>
    </row>
    <row r="781" spans="2:6" ht="21">
      <c r="B781" s="24"/>
      <c r="C781" s="24"/>
      <c r="D781" s="24"/>
      <c r="E781" s="24"/>
      <c r="F781" s="24"/>
    </row>
    <row r="782" spans="2:6" ht="21">
      <c r="B782" s="24"/>
      <c r="C782" s="24"/>
      <c r="D782" s="24"/>
      <c r="E782" s="24"/>
      <c r="F782" s="24"/>
    </row>
    <row r="783" spans="2:6" ht="21">
      <c r="B783" s="24"/>
      <c r="C783" s="24"/>
      <c r="D783" s="24"/>
      <c r="E783" s="24"/>
      <c r="F783" s="24"/>
    </row>
    <row r="784" spans="2:6" ht="21">
      <c r="B784" s="24"/>
      <c r="C784" s="24"/>
      <c r="D784" s="24"/>
      <c r="E784" s="24"/>
      <c r="F784" s="24"/>
    </row>
    <row r="785" spans="2:6" ht="21">
      <c r="B785" s="24"/>
      <c r="C785" s="24"/>
      <c r="D785" s="24"/>
      <c r="E785" s="24"/>
      <c r="F785" s="24"/>
    </row>
    <row r="786" spans="2:6" ht="21">
      <c r="B786" s="24"/>
      <c r="C786" s="24"/>
      <c r="D786" s="24"/>
      <c r="E786" s="24"/>
      <c r="F786" s="24"/>
    </row>
    <row r="787" spans="2:6" ht="21">
      <c r="B787" s="24"/>
      <c r="C787" s="24"/>
      <c r="D787" s="24"/>
      <c r="E787" s="24"/>
      <c r="F787" s="24"/>
    </row>
    <row r="788" spans="2:6" ht="21">
      <c r="B788" s="24"/>
      <c r="C788" s="24"/>
      <c r="D788" s="24"/>
      <c r="E788" s="24"/>
      <c r="F788" s="24"/>
    </row>
    <row r="789" spans="2:6" ht="21">
      <c r="B789" s="24"/>
      <c r="C789" s="24"/>
      <c r="D789" s="24"/>
      <c r="E789" s="24"/>
      <c r="F789" s="24"/>
    </row>
    <row r="790" spans="2:6" ht="21">
      <c r="B790" s="24"/>
      <c r="C790" s="24"/>
      <c r="D790" s="24"/>
      <c r="E790" s="24"/>
      <c r="F790" s="24"/>
    </row>
    <row r="791" spans="2:6" ht="21">
      <c r="B791" s="24"/>
      <c r="C791" s="24"/>
      <c r="D791" s="24"/>
      <c r="E791" s="24"/>
      <c r="F791" s="24"/>
    </row>
    <row r="792" spans="2:6" ht="21">
      <c r="B792" s="24"/>
      <c r="C792" s="24"/>
      <c r="D792" s="24"/>
      <c r="E792" s="24"/>
      <c r="F792" s="24"/>
    </row>
    <row r="793" spans="2:6" ht="21">
      <c r="B793" s="24"/>
      <c r="C793" s="24"/>
      <c r="D793" s="24"/>
      <c r="E793" s="24"/>
      <c r="F793" s="24"/>
    </row>
    <row r="794" spans="2:6" ht="21">
      <c r="B794" s="24"/>
      <c r="C794" s="24"/>
      <c r="D794" s="24"/>
      <c r="E794" s="24"/>
      <c r="F794" s="24"/>
    </row>
    <row r="795" spans="2:6" ht="21">
      <c r="B795" s="24"/>
      <c r="C795" s="24"/>
      <c r="D795" s="24"/>
      <c r="E795" s="24"/>
      <c r="F795" s="24"/>
    </row>
    <row r="796" spans="2:6" ht="21">
      <c r="B796" s="24"/>
      <c r="C796" s="24"/>
      <c r="D796" s="24"/>
      <c r="E796" s="24"/>
      <c r="F796" s="24"/>
    </row>
    <row r="797" spans="2:6" ht="21">
      <c r="B797" s="24"/>
      <c r="C797" s="24"/>
      <c r="D797" s="24"/>
      <c r="E797" s="24"/>
      <c r="F797" s="24"/>
    </row>
    <row r="798" spans="2:6" ht="21">
      <c r="B798" s="24"/>
      <c r="C798" s="24"/>
      <c r="D798" s="24"/>
      <c r="E798" s="24"/>
      <c r="F798" s="24"/>
    </row>
    <row r="799" spans="2:6" ht="21">
      <c r="B799" s="24"/>
      <c r="C799" s="24"/>
      <c r="D799" s="24"/>
      <c r="E799" s="24"/>
      <c r="F799" s="24"/>
    </row>
    <row r="800" spans="2:6" ht="21">
      <c r="B800" s="24"/>
      <c r="C800" s="24"/>
      <c r="D800" s="24"/>
      <c r="E800" s="24"/>
      <c r="F800" s="24"/>
    </row>
    <row r="801" spans="2:6" ht="21">
      <c r="B801" s="24"/>
      <c r="C801" s="24"/>
      <c r="D801" s="24"/>
      <c r="E801" s="24"/>
      <c r="F801" s="24"/>
    </row>
    <row r="802" spans="2:6" ht="21">
      <c r="B802" s="24"/>
      <c r="C802" s="24"/>
      <c r="D802" s="24"/>
      <c r="E802" s="24"/>
      <c r="F802" s="24"/>
    </row>
    <row r="803" spans="2:6" ht="21">
      <c r="B803" s="24"/>
      <c r="C803" s="24"/>
      <c r="D803" s="24"/>
      <c r="E803" s="24"/>
      <c r="F803" s="24"/>
    </row>
    <row r="804" spans="2:6" ht="21">
      <c r="B804" s="24"/>
      <c r="C804" s="24"/>
      <c r="D804" s="24"/>
      <c r="E804" s="24"/>
      <c r="F804" s="24"/>
    </row>
    <row r="805" spans="2:6" ht="21">
      <c r="B805" s="24"/>
      <c r="C805" s="24"/>
      <c r="D805" s="24"/>
      <c r="E805" s="24"/>
      <c r="F805" s="24"/>
    </row>
    <row r="806" spans="2:6" ht="21">
      <c r="B806" s="24"/>
      <c r="C806" s="24"/>
      <c r="D806" s="24"/>
      <c r="E806" s="24"/>
      <c r="F806" s="24"/>
    </row>
    <row r="807" spans="2:6" ht="21">
      <c r="B807" s="24"/>
      <c r="C807" s="24"/>
      <c r="D807" s="24"/>
      <c r="E807" s="24"/>
      <c r="F807" s="24"/>
    </row>
    <row r="808" spans="2:6" ht="21">
      <c r="B808" s="24"/>
      <c r="C808" s="24"/>
      <c r="D808" s="24"/>
      <c r="E808" s="24"/>
      <c r="F808" s="24"/>
    </row>
    <row r="809" spans="2:6" ht="21">
      <c r="B809" s="24"/>
      <c r="C809" s="24"/>
      <c r="D809" s="24"/>
      <c r="E809" s="24"/>
      <c r="F809" s="24"/>
    </row>
    <row r="810" spans="2:6" ht="21">
      <c r="B810" s="24"/>
      <c r="C810" s="24"/>
      <c r="D810" s="24"/>
      <c r="E810" s="24"/>
      <c r="F810" s="24"/>
    </row>
    <row r="811" spans="2:6" ht="21">
      <c r="B811" s="24"/>
      <c r="C811" s="24"/>
      <c r="D811" s="24"/>
      <c r="E811" s="24"/>
      <c r="F811" s="24"/>
    </row>
    <row r="812" spans="2:6" ht="21">
      <c r="B812" s="24"/>
      <c r="C812" s="24"/>
      <c r="D812" s="24"/>
      <c r="E812" s="24"/>
      <c r="F812" s="24"/>
    </row>
    <row r="813" spans="2:6" ht="21">
      <c r="B813" s="24"/>
      <c r="C813" s="24"/>
      <c r="D813" s="24"/>
      <c r="E813" s="24"/>
      <c r="F813" s="24"/>
    </row>
    <row r="814" spans="2:6" ht="21">
      <c r="B814" s="24"/>
      <c r="C814" s="24"/>
      <c r="D814" s="24"/>
      <c r="E814" s="24"/>
      <c r="F814" s="24"/>
    </row>
    <row r="815" spans="2:6" ht="21">
      <c r="B815" s="24"/>
      <c r="C815" s="24"/>
      <c r="D815" s="24"/>
      <c r="E815" s="24"/>
      <c r="F815" s="24"/>
    </row>
    <row r="816" spans="2:6" ht="21">
      <c r="B816" s="24"/>
      <c r="C816" s="24"/>
      <c r="D816" s="24"/>
      <c r="E816" s="24"/>
      <c r="F816" s="24"/>
    </row>
    <row r="817" spans="2:6" ht="21">
      <c r="B817" s="24"/>
      <c r="C817" s="24"/>
      <c r="D817" s="24"/>
      <c r="E817" s="24"/>
      <c r="F817" s="24"/>
    </row>
    <row r="818" spans="2:6" ht="21">
      <c r="B818" s="24"/>
      <c r="C818" s="24"/>
      <c r="D818" s="24"/>
      <c r="E818" s="24"/>
      <c r="F818" s="24"/>
    </row>
    <row r="819" spans="2:6" ht="21">
      <c r="B819" s="24"/>
      <c r="C819" s="24"/>
      <c r="D819" s="24"/>
      <c r="E819" s="24"/>
      <c r="F819" s="24"/>
    </row>
    <row r="820" spans="2:6" ht="21">
      <c r="B820" s="24"/>
      <c r="C820" s="24"/>
      <c r="D820" s="24"/>
      <c r="E820" s="24"/>
      <c r="F820" s="24"/>
    </row>
    <row r="821" spans="2:6" ht="21">
      <c r="B821" s="24"/>
      <c r="C821" s="24"/>
      <c r="D821" s="24"/>
      <c r="E821" s="24"/>
      <c r="F821" s="24"/>
    </row>
    <row r="822" spans="2:6" ht="21">
      <c r="B822" s="24"/>
      <c r="C822" s="24"/>
      <c r="D822" s="24"/>
      <c r="E822" s="24"/>
      <c r="F822" s="24"/>
    </row>
    <row r="823" spans="2:6" ht="21">
      <c r="B823" s="24"/>
      <c r="C823" s="24"/>
      <c r="D823" s="24"/>
      <c r="E823" s="24"/>
      <c r="F823" s="24"/>
    </row>
    <row r="824" spans="2:6" ht="21">
      <c r="B824" s="24"/>
      <c r="C824" s="24"/>
      <c r="D824" s="24"/>
      <c r="E824" s="24"/>
      <c r="F824" s="24"/>
    </row>
    <row r="825" spans="2:6" ht="21">
      <c r="B825" s="24"/>
      <c r="C825" s="24"/>
      <c r="D825" s="24"/>
      <c r="E825" s="24"/>
      <c r="F825" s="24"/>
    </row>
    <row r="826" spans="2:6" ht="21">
      <c r="B826" s="24"/>
      <c r="C826" s="24"/>
      <c r="D826" s="24"/>
      <c r="E826" s="24"/>
      <c r="F826" s="24"/>
    </row>
    <row r="827" spans="2:6" ht="21">
      <c r="B827" s="24"/>
      <c r="C827" s="24"/>
      <c r="D827" s="24"/>
      <c r="E827" s="24"/>
      <c r="F827" s="24"/>
    </row>
    <row r="828" spans="2:6" ht="21">
      <c r="B828" s="24"/>
      <c r="C828" s="24"/>
      <c r="D828" s="24"/>
      <c r="E828" s="24"/>
      <c r="F828" s="24"/>
    </row>
    <row r="829" spans="2:6" ht="21">
      <c r="B829" s="24"/>
      <c r="C829" s="24"/>
      <c r="D829" s="24"/>
      <c r="E829" s="24"/>
      <c r="F829" s="24"/>
    </row>
    <row r="830" spans="2:6" ht="21">
      <c r="B830" s="24"/>
      <c r="C830" s="24"/>
      <c r="D830" s="24"/>
      <c r="E830" s="24"/>
      <c r="F830" s="24"/>
    </row>
    <row r="831" spans="2:6" ht="21">
      <c r="B831" s="24"/>
      <c r="C831" s="24"/>
      <c r="D831" s="24"/>
      <c r="E831" s="24"/>
      <c r="F831" s="24"/>
    </row>
    <row r="832" spans="2:6" ht="21">
      <c r="B832" s="24"/>
      <c r="C832" s="24"/>
      <c r="D832" s="24"/>
      <c r="E832" s="24"/>
      <c r="F832" s="24"/>
    </row>
    <row r="833" spans="2:6" ht="21">
      <c r="B833" s="24"/>
      <c r="C833" s="24"/>
      <c r="D833" s="24"/>
      <c r="E833" s="24"/>
      <c r="F833" s="24"/>
    </row>
    <row r="834" spans="2:6" ht="21">
      <c r="B834" s="24"/>
      <c r="C834" s="24"/>
      <c r="D834" s="24"/>
      <c r="E834" s="24"/>
      <c r="F834" s="24"/>
    </row>
    <row r="835" spans="2:6" ht="21">
      <c r="B835" s="24"/>
      <c r="C835" s="24"/>
      <c r="D835" s="24"/>
      <c r="E835" s="24"/>
      <c r="F835" s="24"/>
    </row>
    <row r="836" spans="2:6" ht="21">
      <c r="B836" s="24"/>
      <c r="C836" s="24"/>
      <c r="D836" s="24"/>
      <c r="E836" s="24"/>
      <c r="F836" s="24"/>
    </row>
    <row r="837" spans="2:6" ht="21">
      <c r="B837" s="24"/>
      <c r="C837" s="24"/>
      <c r="D837" s="24"/>
      <c r="E837" s="24"/>
      <c r="F837" s="24"/>
    </row>
    <row r="838" spans="2:6" ht="21">
      <c r="B838" s="24"/>
      <c r="C838" s="24"/>
      <c r="D838" s="24"/>
      <c r="E838" s="24"/>
      <c r="F838" s="24"/>
    </row>
    <row r="839" spans="2:6" ht="21">
      <c r="B839" s="24"/>
      <c r="C839" s="24"/>
      <c r="D839" s="24"/>
      <c r="E839" s="24"/>
      <c r="F839" s="24"/>
    </row>
    <row r="840" spans="2:6" ht="21">
      <c r="B840" s="24"/>
      <c r="C840" s="24"/>
      <c r="D840" s="24"/>
      <c r="E840" s="24"/>
      <c r="F840" s="24"/>
    </row>
    <row r="841" spans="2:6" ht="21">
      <c r="B841" s="24"/>
      <c r="C841" s="24"/>
      <c r="D841" s="24"/>
      <c r="E841" s="24"/>
      <c r="F841" s="24"/>
    </row>
    <row r="842" spans="2:6" ht="21">
      <c r="B842" s="24"/>
      <c r="C842" s="24"/>
      <c r="D842" s="24"/>
      <c r="E842" s="24"/>
      <c r="F842" s="24"/>
    </row>
    <row r="843" spans="2:6" ht="21">
      <c r="B843" s="24"/>
      <c r="C843" s="24"/>
      <c r="D843" s="24"/>
      <c r="E843" s="24"/>
      <c r="F843" s="24"/>
    </row>
    <row r="844" spans="2:6" ht="21">
      <c r="B844" s="24"/>
      <c r="C844" s="24"/>
      <c r="D844" s="24"/>
      <c r="E844" s="24"/>
      <c r="F844" s="24"/>
    </row>
    <row r="845" spans="2:6" ht="21">
      <c r="B845" s="24"/>
      <c r="C845" s="24"/>
      <c r="D845" s="24"/>
      <c r="E845" s="24"/>
      <c r="F845" s="24"/>
    </row>
    <row r="846" spans="2:6" ht="21">
      <c r="B846" s="24"/>
      <c r="C846" s="24"/>
      <c r="D846" s="24"/>
      <c r="E846" s="24"/>
      <c r="F846" s="24"/>
    </row>
    <row r="847" spans="2:6" ht="21">
      <c r="B847" s="24"/>
      <c r="C847" s="24"/>
      <c r="D847" s="24"/>
      <c r="E847" s="24"/>
      <c r="F847" s="24"/>
    </row>
    <row r="848" spans="2:6" ht="21">
      <c r="B848" s="24"/>
      <c r="C848" s="24"/>
      <c r="D848" s="24"/>
      <c r="E848" s="24"/>
      <c r="F848" s="24"/>
    </row>
    <row r="849" spans="2:6" ht="21">
      <c r="B849" s="24"/>
      <c r="C849" s="24"/>
      <c r="D849" s="24"/>
      <c r="E849" s="24"/>
      <c r="F849" s="24"/>
    </row>
    <row r="850" spans="2:6" ht="21">
      <c r="B850" s="24"/>
      <c r="C850" s="24"/>
      <c r="D850" s="24"/>
      <c r="E850" s="24"/>
      <c r="F850" s="24"/>
    </row>
    <row r="851" spans="2:6" ht="21">
      <c r="B851" s="24"/>
      <c r="C851" s="24"/>
      <c r="D851" s="24"/>
      <c r="E851" s="24"/>
      <c r="F851" s="24"/>
    </row>
    <row r="852" spans="2:6" ht="21">
      <c r="B852" s="24"/>
      <c r="C852" s="24"/>
      <c r="D852" s="24"/>
      <c r="E852" s="24"/>
      <c r="F852" s="24"/>
    </row>
    <row r="853" spans="2:6" ht="21">
      <c r="B853" s="24"/>
      <c r="C853" s="24"/>
      <c r="D853" s="24"/>
      <c r="E853" s="24"/>
      <c r="F853" s="24"/>
    </row>
    <row r="854" spans="2:6" ht="21">
      <c r="B854" s="24"/>
      <c r="C854" s="24"/>
      <c r="D854" s="24"/>
      <c r="E854" s="24"/>
      <c r="F854" s="24"/>
    </row>
    <row r="855" spans="2:6" ht="21">
      <c r="B855" s="24"/>
      <c r="C855" s="24"/>
      <c r="D855" s="24"/>
      <c r="E855" s="24"/>
      <c r="F855" s="24"/>
    </row>
    <row r="856" spans="2:6" ht="21">
      <c r="B856" s="24"/>
      <c r="C856" s="24"/>
      <c r="D856" s="24"/>
      <c r="E856" s="24"/>
      <c r="F856" s="24"/>
    </row>
    <row r="857" spans="2:6" ht="21">
      <c r="B857" s="24"/>
      <c r="C857" s="24"/>
      <c r="D857" s="24"/>
      <c r="E857" s="24"/>
      <c r="F857" s="24"/>
    </row>
    <row r="858" spans="2:6" ht="21">
      <c r="B858" s="24"/>
      <c r="C858" s="24"/>
      <c r="D858" s="24"/>
      <c r="E858" s="24"/>
      <c r="F858" s="24"/>
    </row>
    <row r="859" spans="2:6" ht="21">
      <c r="B859" s="24"/>
      <c r="C859" s="24"/>
      <c r="D859" s="24"/>
      <c r="E859" s="24"/>
      <c r="F859" s="24"/>
    </row>
    <row r="860" spans="2:6" ht="21">
      <c r="B860" s="24"/>
      <c r="C860" s="24"/>
      <c r="D860" s="24"/>
      <c r="E860" s="24"/>
      <c r="F860" s="24"/>
    </row>
    <row r="861" spans="2:6" ht="21">
      <c r="B861" s="24"/>
      <c r="C861" s="24"/>
      <c r="D861" s="24"/>
      <c r="E861" s="24"/>
      <c r="F861" s="24"/>
    </row>
    <row r="862" spans="2:6" ht="21">
      <c r="B862" s="24"/>
      <c r="C862" s="24"/>
      <c r="D862" s="24"/>
      <c r="E862" s="24"/>
      <c r="F862" s="24"/>
    </row>
    <row r="863" spans="2:6" ht="21">
      <c r="B863" s="24"/>
      <c r="C863" s="24"/>
      <c r="D863" s="24"/>
      <c r="E863" s="24"/>
      <c r="F863" s="24"/>
    </row>
    <row r="864" spans="2:6" ht="21">
      <c r="B864" s="24"/>
      <c r="C864" s="24"/>
      <c r="D864" s="24"/>
      <c r="E864" s="24"/>
      <c r="F864" s="24"/>
    </row>
    <row r="865" spans="2:6" ht="21">
      <c r="B865" s="24"/>
      <c r="C865" s="24"/>
      <c r="D865" s="24"/>
      <c r="E865" s="24"/>
      <c r="F865" s="24"/>
    </row>
    <row r="866" spans="2:6" ht="21">
      <c r="B866" s="24"/>
      <c r="C866" s="24"/>
      <c r="D866" s="24"/>
      <c r="E866" s="24"/>
      <c r="F866" s="24"/>
    </row>
    <row r="867" spans="2:6" ht="21">
      <c r="B867" s="24"/>
      <c r="C867" s="24"/>
      <c r="D867" s="24"/>
      <c r="E867" s="24"/>
      <c r="F867" s="24"/>
    </row>
    <row r="868" spans="2:6" ht="21">
      <c r="B868" s="24"/>
      <c r="C868" s="24"/>
      <c r="D868" s="24"/>
      <c r="E868" s="24"/>
      <c r="F868" s="24"/>
    </row>
    <row r="869" spans="2:6" ht="21">
      <c r="B869" s="24"/>
      <c r="C869" s="24"/>
      <c r="D869" s="24"/>
      <c r="E869" s="24"/>
      <c r="F869" s="24"/>
    </row>
    <row r="870" spans="2:6" ht="21">
      <c r="B870" s="24"/>
      <c r="C870" s="24"/>
      <c r="D870" s="24"/>
      <c r="E870" s="24"/>
      <c r="F870" s="24"/>
    </row>
    <row r="871" spans="2:6" ht="21">
      <c r="B871" s="24"/>
      <c r="C871" s="24"/>
      <c r="D871" s="24"/>
      <c r="E871" s="24"/>
      <c r="F871" s="24"/>
    </row>
    <row r="872" spans="2:6" ht="21">
      <c r="B872" s="24"/>
      <c r="C872" s="24"/>
      <c r="D872" s="24"/>
      <c r="E872" s="24"/>
      <c r="F872" s="24"/>
    </row>
    <row r="873" spans="2:6" ht="21">
      <c r="B873" s="24"/>
      <c r="C873" s="24"/>
      <c r="D873" s="24"/>
      <c r="E873" s="24"/>
      <c r="F873" s="24"/>
    </row>
    <row r="874" spans="2:6" ht="21">
      <c r="B874" s="24"/>
      <c r="C874" s="24"/>
      <c r="D874" s="24"/>
      <c r="E874" s="24"/>
      <c r="F874" s="24"/>
    </row>
    <row r="875" spans="2:6" ht="21">
      <c r="B875" s="24"/>
      <c r="C875" s="24"/>
      <c r="D875" s="24"/>
      <c r="E875" s="24"/>
      <c r="F875" s="24"/>
    </row>
    <row r="876" spans="2:6" ht="21">
      <c r="B876" s="24"/>
      <c r="C876" s="24"/>
      <c r="D876" s="24"/>
      <c r="E876" s="24"/>
      <c r="F876" s="24"/>
    </row>
    <row r="877" spans="2:6" ht="21">
      <c r="B877" s="24"/>
      <c r="C877" s="24"/>
      <c r="D877" s="24"/>
      <c r="E877" s="24"/>
      <c r="F877" s="24"/>
    </row>
    <row r="878" spans="2:6" ht="21">
      <c r="B878" s="24"/>
      <c r="C878" s="24"/>
      <c r="D878" s="24"/>
      <c r="E878" s="24"/>
      <c r="F878" s="24"/>
    </row>
    <row r="879" spans="2:6" ht="21">
      <c r="B879" s="24"/>
      <c r="C879" s="24"/>
      <c r="D879" s="24"/>
      <c r="E879" s="24"/>
      <c r="F879" s="24"/>
    </row>
    <row r="880" spans="2:6" ht="21">
      <c r="B880" s="24"/>
      <c r="C880" s="24"/>
      <c r="D880" s="24"/>
      <c r="E880" s="24"/>
      <c r="F880" s="24"/>
    </row>
    <row r="881" spans="2:6" ht="21">
      <c r="B881" s="24"/>
      <c r="C881" s="24"/>
      <c r="D881" s="24"/>
      <c r="E881" s="24"/>
      <c r="F881" s="24"/>
    </row>
    <row r="882" spans="2:6" ht="21">
      <c r="B882" s="24"/>
      <c r="C882" s="24"/>
      <c r="D882" s="24"/>
      <c r="E882" s="24"/>
      <c r="F882" s="24"/>
    </row>
    <row r="883" spans="2:6" ht="21">
      <c r="B883" s="24"/>
      <c r="C883" s="24"/>
      <c r="D883" s="24"/>
      <c r="E883" s="24"/>
      <c r="F883" s="24"/>
    </row>
    <row r="884" spans="2:6" ht="21">
      <c r="B884" s="24"/>
      <c r="C884" s="24"/>
      <c r="D884" s="24"/>
      <c r="E884" s="24"/>
      <c r="F884" s="24"/>
    </row>
    <row r="885" spans="2:6" ht="21">
      <c r="B885" s="24"/>
      <c r="C885" s="24"/>
      <c r="D885" s="24"/>
      <c r="E885" s="24"/>
      <c r="F885" s="24"/>
    </row>
    <row r="886" spans="2:6" ht="21">
      <c r="B886" s="24"/>
      <c r="C886" s="24"/>
      <c r="D886" s="24"/>
      <c r="E886" s="24"/>
      <c r="F886" s="24"/>
    </row>
    <row r="887" spans="2:6" ht="21">
      <c r="B887" s="24"/>
      <c r="C887" s="24"/>
      <c r="D887" s="24"/>
      <c r="E887" s="24"/>
      <c r="F887" s="24"/>
    </row>
    <row r="888" spans="2:6" ht="21">
      <c r="B888" s="24"/>
      <c r="C888" s="24"/>
      <c r="D888" s="24"/>
      <c r="E888" s="24"/>
      <c r="F888" s="24"/>
    </row>
    <row r="889" spans="2:6" ht="21">
      <c r="B889" s="24"/>
      <c r="C889" s="24"/>
      <c r="D889" s="24"/>
      <c r="E889" s="24"/>
      <c r="F889" s="24"/>
    </row>
    <row r="890" spans="2:6" ht="21">
      <c r="B890" s="24"/>
      <c r="C890" s="24"/>
      <c r="D890" s="24"/>
      <c r="E890" s="24"/>
      <c r="F890" s="24"/>
    </row>
    <row r="891" spans="2:6" ht="21">
      <c r="B891" s="24"/>
      <c r="C891" s="24"/>
      <c r="D891" s="24"/>
      <c r="E891" s="24"/>
      <c r="F891" s="24"/>
    </row>
    <row r="892" spans="2:6" ht="21">
      <c r="B892" s="24"/>
      <c r="C892" s="24"/>
      <c r="D892" s="24"/>
      <c r="E892" s="24"/>
      <c r="F892" s="24"/>
    </row>
    <row r="893" spans="2:6" ht="21">
      <c r="B893" s="24"/>
      <c r="C893" s="24"/>
      <c r="D893" s="24"/>
      <c r="E893" s="24"/>
      <c r="F893" s="24"/>
    </row>
    <row r="894" spans="2:6" ht="21">
      <c r="B894" s="24"/>
      <c r="C894" s="24"/>
      <c r="D894" s="24"/>
      <c r="E894" s="24"/>
      <c r="F894" s="24"/>
    </row>
    <row r="895" spans="2:6" ht="21">
      <c r="B895" s="24"/>
      <c r="C895" s="24"/>
      <c r="D895" s="24"/>
      <c r="E895" s="24"/>
      <c r="F895" s="24"/>
    </row>
    <row r="896" spans="2:6" ht="21">
      <c r="B896" s="24"/>
      <c r="C896" s="24"/>
      <c r="D896" s="24"/>
      <c r="E896" s="24"/>
      <c r="F896" s="24"/>
    </row>
    <row r="897" spans="2:6" ht="21">
      <c r="B897" s="24"/>
      <c r="C897" s="24"/>
      <c r="D897" s="24"/>
      <c r="E897" s="24"/>
      <c r="F897" s="24"/>
    </row>
    <row r="898" spans="2:6" ht="21">
      <c r="B898" s="24"/>
      <c r="C898" s="24"/>
      <c r="D898" s="24"/>
      <c r="E898" s="24"/>
      <c r="F898" s="24"/>
    </row>
    <row r="899" spans="2:6" ht="21">
      <c r="B899" s="24"/>
      <c r="C899" s="24"/>
      <c r="D899" s="24"/>
      <c r="E899" s="24"/>
      <c r="F899" s="24"/>
    </row>
    <row r="900" spans="2:6" ht="21">
      <c r="B900" s="24"/>
      <c r="C900" s="24"/>
      <c r="D900" s="24"/>
      <c r="E900" s="24"/>
      <c r="F900" s="24"/>
    </row>
    <row r="901" spans="2:6" ht="21">
      <c r="B901" s="24"/>
      <c r="C901" s="24"/>
      <c r="D901" s="24"/>
      <c r="E901" s="24"/>
      <c r="F901" s="24"/>
    </row>
    <row r="902" spans="2:6" ht="21">
      <c r="B902" s="24"/>
      <c r="C902" s="24"/>
      <c r="D902" s="24"/>
      <c r="E902" s="24"/>
      <c r="F902" s="24"/>
    </row>
    <row r="903" spans="2:6" ht="21">
      <c r="B903" s="24"/>
      <c r="C903" s="24"/>
      <c r="D903" s="24"/>
      <c r="E903" s="24"/>
      <c r="F903" s="24"/>
    </row>
    <row r="904" spans="2:6" ht="21">
      <c r="B904" s="24"/>
      <c r="C904" s="24"/>
      <c r="D904" s="24"/>
      <c r="E904" s="24"/>
      <c r="F904" s="24"/>
    </row>
    <row r="905" spans="2:6" ht="21">
      <c r="B905" s="24"/>
      <c r="C905" s="24"/>
      <c r="D905" s="24"/>
      <c r="E905" s="24"/>
      <c r="F905" s="24"/>
    </row>
    <row r="906" spans="2:6" ht="21">
      <c r="B906" s="24"/>
      <c r="C906" s="24"/>
      <c r="D906" s="24"/>
      <c r="E906" s="24"/>
      <c r="F906" s="24"/>
    </row>
    <row r="907" spans="2:6" ht="21">
      <c r="B907" s="24"/>
      <c r="C907" s="24"/>
      <c r="D907" s="24"/>
      <c r="E907" s="24"/>
      <c r="F907" s="24"/>
    </row>
    <row r="908" spans="2:6" ht="21">
      <c r="B908" s="24"/>
      <c r="C908" s="24"/>
      <c r="D908" s="24"/>
      <c r="E908" s="24"/>
      <c r="F908" s="24"/>
    </row>
    <row r="909" spans="2:6" ht="21">
      <c r="B909" s="24"/>
      <c r="C909" s="24"/>
      <c r="D909" s="24"/>
      <c r="E909" s="24"/>
      <c r="F909" s="24"/>
    </row>
    <row r="910" spans="2:6" ht="21">
      <c r="B910" s="24"/>
      <c r="C910" s="24"/>
      <c r="D910" s="24"/>
      <c r="E910" s="24"/>
      <c r="F910" s="24"/>
    </row>
    <row r="911" spans="2:6" ht="21">
      <c r="B911" s="24"/>
      <c r="C911" s="24"/>
      <c r="D911" s="24"/>
      <c r="E911" s="24"/>
      <c r="F911" s="24"/>
    </row>
    <row r="912" spans="2:6" ht="21">
      <c r="B912" s="24"/>
      <c r="C912" s="24"/>
      <c r="D912" s="24"/>
      <c r="E912" s="24"/>
      <c r="F912" s="24"/>
    </row>
    <row r="913" spans="2:6" ht="21">
      <c r="B913" s="24"/>
      <c r="C913" s="24"/>
      <c r="D913" s="24"/>
      <c r="E913" s="24"/>
      <c r="F913" s="24"/>
    </row>
    <row r="914" spans="2:6" ht="21">
      <c r="B914" s="24"/>
      <c r="C914" s="24"/>
      <c r="D914" s="24"/>
      <c r="E914" s="24"/>
      <c r="F914" s="24"/>
    </row>
    <row r="915" spans="2:6" ht="21">
      <c r="B915" s="24"/>
      <c r="C915" s="24"/>
      <c r="D915" s="24"/>
      <c r="E915" s="24"/>
      <c r="F915" s="24"/>
    </row>
    <row r="916" spans="2:6" ht="21">
      <c r="B916" s="24"/>
      <c r="C916" s="24"/>
      <c r="D916" s="24"/>
      <c r="E916" s="24"/>
      <c r="F916" s="24"/>
    </row>
    <row r="917" spans="2:6" ht="21">
      <c r="B917" s="24"/>
      <c r="C917" s="24"/>
      <c r="D917" s="24"/>
      <c r="E917" s="24"/>
      <c r="F917" s="24"/>
    </row>
    <row r="918" spans="2:6" ht="21">
      <c r="B918" s="24"/>
      <c r="C918" s="24"/>
      <c r="D918" s="24"/>
      <c r="E918" s="24"/>
      <c r="F918" s="24"/>
    </row>
    <row r="919" spans="2:6" ht="21">
      <c r="B919" s="24"/>
      <c r="C919" s="24"/>
      <c r="D919" s="24"/>
      <c r="E919" s="24"/>
      <c r="F919" s="24"/>
    </row>
    <row r="920" spans="2:6" ht="21">
      <c r="B920" s="24"/>
      <c r="C920" s="24"/>
      <c r="D920" s="24"/>
      <c r="E920" s="24"/>
      <c r="F920" s="24"/>
    </row>
    <row r="921" spans="2:6" ht="21">
      <c r="B921" s="24"/>
      <c r="C921" s="24"/>
      <c r="D921" s="24"/>
      <c r="E921" s="24"/>
      <c r="F921" s="24"/>
    </row>
    <row r="922" spans="2:6" ht="21">
      <c r="B922" s="24"/>
      <c r="C922" s="24"/>
      <c r="D922" s="24"/>
      <c r="E922" s="24"/>
      <c r="F922" s="24"/>
    </row>
    <row r="923" spans="2:6" ht="21">
      <c r="B923" s="24"/>
      <c r="C923" s="24"/>
      <c r="D923" s="24"/>
      <c r="E923" s="24"/>
      <c r="F923" s="24"/>
    </row>
    <row r="924" spans="2:6" ht="21">
      <c r="B924" s="24"/>
      <c r="C924" s="24"/>
      <c r="D924" s="24"/>
      <c r="E924" s="24"/>
      <c r="F924" s="24"/>
    </row>
    <row r="925" spans="2:6" ht="21">
      <c r="B925" s="24"/>
      <c r="C925" s="24"/>
      <c r="D925" s="24"/>
      <c r="E925" s="24"/>
      <c r="F925" s="24"/>
    </row>
    <row r="926" spans="2:6" ht="21">
      <c r="B926" s="24"/>
      <c r="C926" s="24"/>
      <c r="D926" s="24"/>
      <c r="E926" s="24"/>
      <c r="F926" s="24"/>
    </row>
    <row r="927" spans="2:6" ht="21">
      <c r="B927" s="24"/>
      <c r="C927" s="24"/>
      <c r="D927" s="24"/>
      <c r="E927" s="24"/>
      <c r="F927" s="24"/>
    </row>
  </sheetData>
  <mergeCells count="6">
    <mergeCell ref="J21:P21"/>
    <mergeCell ref="B2:F2"/>
    <mergeCell ref="B3:F3"/>
    <mergeCell ref="B4:G4"/>
    <mergeCell ref="B5:G5"/>
    <mergeCell ref="B6:G6"/>
  </mergeCells>
  <hyperlinks>
    <hyperlink ref="J21" r:id="rId1" xr:uid="{9649D349-3302-BB48-9B6E-14DCDF676461}"/>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080C0-6AAD-A240-B9A7-490D88B4DB98}">
  <sheetPr codeName="Sheet3"/>
  <dimension ref="B1:J60"/>
  <sheetViews>
    <sheetView topLeftCell="B12" zoomScaleNormal="100" workbookViewId="0">
      <selection activeCell="C13" sqref="C13"/>
    </sheetView>
  </sheetViews>
  <sheetFormatPr baseColWidth="10" defaultColWidth="11" defaultRowHeight="15.75" customHeight="1" outlineLevelCol="1"/>
  <cols>
    <col min="1" max="1" width="1.5" customWidth="1"/>
    <col min="2" max="2" width="6.83203125" bestFit="1" customWidth="1"/>
    <col min="3" max="3" width="42.33203125" bestFit="1" customWidth="1"/>
    <col min="4" max="4" width="98.5" customWidth="1" outlineLevel="1"/>
    <col min="5" max="5" width="8.5" customWidth="1"/>
    <col min="6" max="6" width="19" hidden="1" customWidth="1"/>
    <col min="7" max="7" width="10" customWidth="1"/>
    <col min="8" max="8" width="11" customWidth="1"/>
    <col min="9" max="9" width="16" customWidth="1"/>
    <col min="10" max="10" width="9.5" customWidth="1"/>
    <col min="12" max="12" width="17.5" bestFit="1" customWidth="1"/>
    <col min="13" max="13" width="19.5" bestFit="1" customWidth="1"/>
  </cols>
  <sheetData>
    <row r="1" spans="2:10" ht="16" customHeight="1">
      <c r="B1" s="349"/>
      <c r="C1" s="349"/>
      <c r="D1" s="349"/>
      <c r="E1" s="349"/>
      <c r="F1" s="349"/>
      <c r="G1" s="349"/>
      <c r="H1" s="349"/>
      <c r="I1" s="349"/>
      <c r="J1" s="349"/>
    </row>
    <row r="2" spans="2:10" ht="66" customHeight="1">
      <c r="B2" s="351" t="s">
        <v>183</v>
      </c>
      <c r="C2" s="351"/>
      <c r="D2" s="351"/>
      <c r="E2" s="351"/>
      <c r="F2" s="351"/>
      <c r="G2" s="351"/>
      <c r="H2" s="351"/>
      <c r="I2" s="351"/>
      <c r="J2" s="351"/>
    </row>
    <row r="3" spans="2:10" ht="23.25" customHeight="1">
      <c r="B3" s="352" t="s">
        <v>184</v>
      </c>
      <c r="C3" s="353"/>
      <c r="D3" s="353"/>
      <c r="E3" s="353"/>
      <c r="F3" s="353"/>
      <c r="G3" s="353"/>
      <c r="H3" s="353"/>
      <c r="I3" s="353"/>
      <c r="J3" s="354"/>
    </row>
    <row r="4" spans="2:10" ht="16.5" customHeight="1">
      <c r="B4" s="355"/>
      <c r="C4" s="356"/>
      <c r="D4" s="356"/>
      <c r="E4" s="356"/>
      <c r="F4" s="356"/>
      <c r="G4" s="356"/>
      <c r="H4" s="356"/>
      <c r="I4" s="356"/>
      <c r="J4" s="357"/>
    </row>
    <row r="5" spans="2:10" ht="84" customHeight="1">
      <c r="B5" s="350" t="s">
        <v>4</v>
      </c>
      <c r="C5" s="358" t="s">
        <v>6</v>
      </c>
      <c r="D5" s="359" t="s">
        <v>7</v>
      </c>
      <c r="E5" s="360" t="s">
        <v>185</v>
      </c>
      <c r="F5" s="361"/>
      <c r="G5" s="361"/>
      <c r="H5" s="361"/>
      <c r="I5" s="362" t="s">
        <v>186</v>
      </c>
      <c r="J5" s="363"/>
    </row>
    <row r="6" spans="2:10" ht="18" customHeight="1">
      <c r="B6" s="350"/>
      <c r="C6" s="350"/>
      <c r="D6" s="358"/>
      <c r="E6" s="7"/>
      <c r="F6" s="3"/>
      <c r="G6" s="5"/>
      <c r="H6" s="6"/>
      <c r="I6" s="350"/>
      <c r="J6" s="364"/>
    </row>
    <row r="7" spans="2:10" ht="16">
      <c r="B7" s="41" t="s">
        <v>8</v>
      </c>
      <c r="C7" s="77" t="s">
        <v>10</v>
      </c>
      <c r="D7" t="str">
        <f>'Layer to Metric (mapping)'!E3</f>
        <v>Service monitors the health checks metrics for Load Balancer.</v>
      </c>
      <c r="E7" s="169" t="s">
        <v>187</v>
      </c>
      <c r="F7" s="73"/>
      <c r="G7" s="73" t="s">
        <v>188</v>
      </c>
      <c r="H7" s="170" t="s">
        <v>189</v>
      </c>
      <c r="I7" s="8"/>
      <c r="J7" s="16"/>
    </row>
    <row r="8" spans="2:10" ht="16">
      <c r="B8" s="35" t="s">
        <v>8</v>
      </c>
      <c r="C8" s="34" t="s">
        <v>12</v>
      </c>
      <c r="D8" t="str">
        <f>'Layer to Metric (mapping)'!E4</f>
        <v>Service monitors the Gateway timeout errors.</v>
      </c>
      <c r="E8" s="171" t="s">
        <v>187</v>
      </c>
      <c r="F8" s="73"/>
      <c r="G8" s="73" t="s">
        <v>188</v>
      </c>
      <c r="H8" s="172" t="s">
        <v>189</v>
      </c>
      <c r="I8" s="8"/>
      <c r="J8" s="16"/>
    </row>
    <row r="9" spans="2:10" ht="16">
      <c r="B9" s="35" t="s">
        <v>8</v>
      </c>
      <c r="C9" s="23" t="s">
        <v>14</v>
      </c>
      <c r="D9" t="str">
        <f>'Layer to Metric (mapping)'!E5</f>
        <v>Service has synthetic monitors in place to check service availability.</v>
      </c>
      <c r="E9" s="169" t="s">
        <v>187</v>
      </c>
      <c r="F9" s="73"/>
      <c r="G9" s="73" t="s">
        <v>188</v>
      </c>
      <c r="H9" s="170" t="s">
        <v>189</v>
      </c>
      <c r="I9" s="8"/>
      <c r="J9" s="16"/>
    </row>
    <row r="10" spans="2:10" ht="16">
      <c r="B10" s="35" t="s">
        <v>8</v>
      </c>
      <c r="C10" s="23" t="s">
        <v>16</v>
      </c>
      <c r="D10" t="str">
        <f>'Layer to Metric (mapping)'!E6</f>
        <v>Service has synthetic monitors in place to check if all the critical business operations are performing with expected performance.</v>
      </c>
      <c r="E10" s="169" t="s">
        <v>187</v>
      </c>
      <c r="F10" s="73"/>
      <c r="G10" s="73" t="s">
        <v>188</v>
      </c>
      <c r="H10" s="170" t="s">
        <v>189</v>
      </c>
      <c r="I10" s="8"/>
      <c r="J10" s="17"/>
    </row>
    <row r="11" spans="2:10" ht="16">
      <c r="B11" s="35" t="s">
        <v>8</v>
      </c>
      <c r="C11" s="78" t="s">
        <v>18</v>
      </c>
      <c r="D11" t="str">
        <f>'Layer to Metric (mapping)'!E7</f>
        <v>Service performs the successful TLS handshake to ensure TLS certificate is valid with expected behavior.</v>
      </c>
      <c r="E11" s="169" t="s">
        <v>187</v>
      </c>
      <c r="F11" s="73"/>
      <c r="G11" s="73" t="s">
        <v>188</v>
      </c>
      <c r="H11" s="170" t="s">
        <v>189</v>
      </c>
      <c r="I11" s="8"/>
      <c r="J11" s="18"/>
    </row>
    <row r="12" spans="2:10" ht="16">
      <c r="B12" s="35" t="s">
        <v>8</v>
      </c>
      <c r="C12" s="23" t="s">
        <v>20</v>
      </c>
      <c r="D12" t="str">
        <f>'Layer to Metric (mapping)'!E8</f>
        <v>Service performs the TLS certification expiry checks to ensure no service distrubtions due to certs expiry.</v>
      </c>
      <c r="E12" s="169" t="s">
        <v>187</v>
      </c>
      <c r="F12" s="73"/>
      <c r="G12" s="73" t="s">
        <v>188</v>
      </c>
      <c r="H12" s="170" t="s">
        <v>189</v>
      </c>
      <c r="I12" s="10"/>
      <c r="J12" s="18"/>
    </row>
    <row r="13" spans="2:10" ht="16">
      <c r="B13" s="13" t="s">
        <v>22</v>
      </c>
      <c r="C13" s="79" t="s">
        <v>24</v>
      </c>
      <c r="D13" t="str">
        <f>'Layer to Metric (mapping)'!E9</f>
        <v>Service monitors the Operating System CPU utilization that help assess the resource consumption of services.</v>
      </c>
      <c r="E13" s="169" t="s">
        <v>187</v>
      </c>
      <c r="F13" s="73"/>
      <c r="G13" s="73" t="s">
        <v>188</v>
      </c>
      <c r="H13" s="170" t="s">
        <v>189</v>
      </c>
      <c r="I13" s="8"/>
      <c r="J13" s="17"/>
    </row>
    <row r="14" spans="2:10" ht="16">
      <c r="B14" s="13" t="s">
        <v>22</v>
      </c>
      <c r="C14" s="79" t="s">
        <v>26</v>
      </c>
      <c r="D14" t="str">
        <f>'Layer to Metric (mapping)'!E10</f>
        <v>Service monitors the Operating System Memory utilization that help assess the resource consumption of services.</v>
      </c>
      <c r="E14" s="169" t="s">
        <v>187</v>
      </c>
      <c r="F14" s="73"/>
      <c r="G14" s="73" t="s">
        <v>188</v>
      </c>
      <c r="H14" s="170" t="s">
        <v>189</v>
      </c>
      <c r="I14" s="8"/>
      <c r="J14" s="16"/>
    </row>
    <row r="15" spans="2:10" ht="16">
      <c r="B15" s="13" t="s">
        <v>22</v>
      </c>
      <c r="C15" s="79" t="s">
        <v>28</v>
      </c>
      <c r="D15" t="str">
        <f>'Layer to Metric (mapping)'!E11</f>
        <v>Service monitors the Operating System Disk I/O utilization that help assess the resource consumption of services.</v>
      </c>
      <c r="E15" s="169" t="s">
        <v>187</v>
      </c>
      <c r="F15" s="73"/>
      <c r="G15" s="73" t="s">
        <v>188</v>
      </c>
      <c r="H15" s="170" t="s">
        <v>189</v>
      </c>
      <c r="I15" s="8"/>
      <c r="J15" s="16"/>
    </row>
    <row r="16" spans="2:10" ht="16">
      <c r="B16" s="13" t="s">
        <v>22</v>
      </c>
      <c r="C16" s="79" t="s">
        <v>30</v>
      </c>
      <c r="D16" t="str">
        <f>'Layer to Metric (mapping)'!E12</f>
        <v>Service monitors the Operating System Disk capacity utilization that help assess the resource consumption of services.</v>
      </c>
      <c r="E16" s="169" t="s">
        <v>187</v>
      </c>
      <c r="F16" s="73"/>
      <c r="G16" s="73" t="s">
        <v>188</v>
      </c>
      <c r="H16" s="170" t="s">
        <v>189</v>
      </c>
      <c r="I16" s="8"/>
      <c r="J16" s="16"/>
    </row>
    <row r="17" spans="2:10" ht="16">
      <c r="B17" s="13" t="s">
        <v>22</v>
      </c>
      <c r="C17" s="42" t="s">
        <v>32</v>
      </c>
      <c r="D17" t="str">
        <f>'Layer to Metric (mapping)'!E13</f>
        <v>Service monitors the Operating System Network I/O utilization that help assess the resource consumption of services.</v>
      </c>
      <c r="E17" s="169" t="s">
        <v>187</v>
      </c>
      <c r="F17" s="73"/>
      <c r="G17" s="73" t="s">
        <v>188</v>
      </c>
      <c r="H17" s="170" t="s">
        <v>189</v>
      </c>
      <c r="I17" s="8"/>
      <c r="J17" s="16"/>
    </row>
    <row r="18" spans="2:10" ht="16">
      <c r="B18" s="35" t="s">
        <v>22</v>
      </c>
      <c r="C18" s="50" t="s">
        <v>34</v>
      </c>
      <c r="D18" t="str">
        <f>'Layer to Metric (mapping)'!E14</f>
        <v>Service monitors the Operating System availability to ensure no service distrubtion.</v>
      </c>
      <c r="E18" s="169" t="s">
        <v>187</v>
      </c>
      <c r="F18" s="73"/>
      <c r="G18" s="73" t="s">
        <v>188</v>
      </c>
      <c r="H18" s="170" t="s">
        <v>189</v>
      </c>
      <c r="I18" s="8"/>
      <c r="J18" s="16"/>
    </row>
    <row r="19" spans="2:10" ht="16">
      <c r="B19" s="35" t="s">
        <v>22</v>
      </c>
      <c r="C19" s="34" t="s">
        <v>36</v>
      </c>
      <c r="D19" t="str">
        <f>'Layer to Metric (mapping)'!E15</f>
        <v>Service monitors the Operating System error rate within the defined threshold budget.</v>
      </c>
      <c r="E19" s="169" t="s">
        <v>187</v>
      </c>
      <c r="F19" s="73"/>
      <c r="G19" s="73" t="s">
        <v>188</v>
      </c>
      <c r="H19" s="170" t="s">
        <v>189</v>
      </c>
      <c r="I19" s="8"/>
      <c r="J19" s="16"/>
    </row>
    <row r="20" spans="2:10" ht="16">
      <c r="B20" s="35" t="s">
        <v>38</v>
      </c>
      <c r="C20" s="34" t="s">
        <v>40</v>
      </c>
      <c r="D20" t="str">
        <f>'Layer to Metric (mapping)'!E16</f>
        <v>Service monitors the Application Process CPU utilization that help assess the resource consumption of a particular application process.</v>
      </c>
      <c r="E20" s="169" t="s">
        <v>187</v>
      </c>
      <c r="F20" s="73"/>
      <c r="G20" s="73" t="s">
        <v>188</v>
      </c>
      <c r="H20" s="170" t="s">
        <v>189</v>
      </c>
      <c r="I20" s="8"/>
      <c r="J20" s="16"/>
    </row>
    <row r="21" spans="2:10" ht="16">
      <c r="B21" s="35" t="s">
        <v>38</v>
      </c>
      <c r="C21" s="34" t="s">
        <v>42</v>
      </c>
      <c r="D21" t="str">
        <f>'Layer to Metric (mapping)'!E17</f>
        <v>Service monitors the Application Process Memory utilization that help assess the resource consumption of a particular application process.</v>
      </c>
      <c r="E21" s="169" t="s">
        <v>187</v>
      </c>
      <c r="F21" s="73"/>
      <c r="G21" s="73" t="s">
        <v>188</v>
      </c>
      <c r="H21" s="170" t="s">
        <v>189</v>
      </c>
      <c r="I21" s="8"/>
      <c r="J21" s="16"/>
    </row>
    <row r="22" spans="2:10" ht="16">
      <c r="B22" s="35" t="s">
        <v>38</v>
      </c>
      <c r="C22" s="34" t="s">
        <v>44</v>
      </c>
      <c r="D22" t="str">
        <f>'Layer to Metric (mapping)'!E18</f>
        <v>Service monitors the Application Process error rate within the defined threshold budget.</v>
      </c>
      <c r="E22" s="169" t="s">
        <v>187</v>
      </c>
      <c r="F22" s="73"/>
      <c r="G22" s="73" t="s">
        <v>188</v>
      </c>
      <c r="H22" s="170" t="s">
        <v>189</v>
      </c>
      <c r="I22" s="8"/>
      <c r="J22" s="16"/>
    </row>
    <row r="23" spans="2:10" ht="16">
      <c r="B23" s="35" t="s">
        <v>38</v>
      </c>
      <c r="C23" s="34" t="s">
        <v>46</v>
      </c>
      <c r="D23" t="str">
        <f>'Layer to Metric (mapping)'!E19</f>
        <v>Service performs the Application Process dependency health checks. This validates and ensures that it can interact with its core dependencies, like databases.</v>
      </c>
      <c r="E23" s="169" t="s">
        <v>187</v>
      </c>
      <c r="F23" s="73"/>
      <c r="G23" s="73" t="s">
        <v>188</v>
      </c>
      <c r="H23" s="170" t="s">
        <v>189</v>
      </c>
      <c r="I23" s="8"/>
      <c r="J23" s="16"/>
    </row>
    <row r="24" spans="2:10" ht="16">
      <c r="B24" s="35" t="s">
        <v>38</v>
      </c>
      <c r="C24" s="34" t="s">
        <v>48</v>
      </c>
      <c r="D24" t="str">
        <f>'Layer to Metric (mapping)'!E20</f>
        <v>Service monitors the thread pool metrics.</v>
      </c>
      <c r="E24" s="169" t="s">
        <v>187</v>
      </c>
      <c r="F24" s="73"/>
      <c r="G24" s="73" t="s">
        <v>188</v>
      </c>
      <c r="H24" s="170" t="s">
        <v>189</v>
      </c>
      <c r="I24" s="8"/>
      <c r="J24" s="16"/>
    </row>
    <row r="25" spans="2:10" ht="16">
      <c r="B25" s="35" t="s">
        <v>38</v>
      </c>
      <c r="C25" s="34" t="s">
        <v>50</v>
      </c>
      <c r="D25" t="str">
        <f>'Layer to Metric (mapping)'!E21</f>
        <v xml:space="preserve">Service monitors the Active connection within a system. It helps identify if a system is overloaded or if there are issues with the number of open connections. </v>
      </c>
      <c r="E25" s="169" t="s">
        <v>187</v>
      </c>
      <c r="F25" s="73"/>
      <c r="G25" s="73" t="s">
        <v>188</v>
      </c>
      <c r="H25" s="170" t="s">
        <v>189</v>
      </c>
      <c r="I25" s="8"/>
      <c r="J25" s="16"/>
    </row>
    <row r="26" spans="2:10" ht="16">
      <c r="B26" s="35" t="s">
        <v>38</v>
      </c>
      <c r="C26" s="34" t="s">
        <v>52</v>
      </c>
      <c r="D26" t="str">
        <f>'Layer to Metric (mapping)'!E22</f>
        <v>Service monitors the Garbage Collection metrics. It helps track the efficiency and impact of automatic memory reclamation in applications.</v>
      </c>
      <c r="E26" s="169" t="s">
        <v>187</v>
      </c>
      <c r="F26" s="73"/>
      <c r="G26" s="73" t="s">
        <v>188</v>
      </c>
      <c r="H26" s="170" t="s">
        <v>189</v>
      </c>
      <c r="I26" s="8"/>
      <c r="J26" s="16"/>
    </row>
    <row r="27" spans="2:10" ht="16">
      <c r="B27" s="35" t="s">
        <v>54</v>
      </c>
      <c r="C27" s="42" t="s">
        <v>56</v>
      </c>
      <c r="D27" t="str">
        <f>'Layer to Metric (mapping)'!E23</f>
        <v>Service measures the 5xx errors trends to see anomalies.</v>
      </c>
      <c r="E27" s="169" t="s">
        <v>187</v>
      </c>
      <c r="F27" s="73"/>
      <c r="G27" s="73" t="s">
        <v>188</v>
      </c>
      <c r="H27" s="170" t="s">
        <v>189</v>
      </c>
      <c r="I27" s="8"/>
      <c r="J27" s="16"/>
    </row>
    <row r="28" spans="2:10" ht="16">
      <c r="B28" s="35" t="s">
        <v>54</v>
      </c>
      <c r="C28" s="42" t="s">
        <v>58</v>
      </c>
      <c r="D28" t="str">
        <f>'Layer to Metric (mapping)'!E24</f>
        <v>Service measures the 4xx errors trends to see anomalies.</v>
      </c>
      <c r="E28" s="169" t="s">
        <v>187</v>
      </c>
      <c r="F28" s="73"/>
      <c r="G28" s="73" t="s">
        <v>188</v>
      </c>
      <c r="H28" s="170" t="s">
        <v>189</v>
      </c>
      <c r="I28" s="8"/>
      <c r="J28" s="16"/>
    </row>
    <row r="29" spans="2:10" ht="16">
      <c r="B29" s="35" t="s">
        <v>54</v>
      </c>
      <c r="C29" s="42" t="s">
        <v>60</v>
      </c>
      <c r="D29" t="str">
        <f>'Layer to Metric (mapping)'!E25</f>
        <v xml:space="preserve">Service monitors the response latency of your HTTP request traffic. It's a critical performance metric, directly impacting user experience and overall application responsiveness. </v>
      </c>
      <c r="E29" s="169" t="s">
        <v>187</v>
      </c>
      <c r="F29" s="73"/>
      <c r="G29" s="173" t="s">
        <v>188</v>
      </c>
      <c r="H29" s="170" t="s">
        <v>189</v>
      </c>
      <c r="I29" s="8"/>
      <c r="J29" s="16"/>
    </row>
    <row r="30" spans="2:10" ht="16">
      <c r="B30" s="35" t="s">
        <v>54</v>
      </c>
      <c r="C30" s="50" t="s">
        <v>62</v>
      </c>
      <c r="D30" t="str">
        <f>'Layer to Metric (mapping)'!E26</f>
        <v xml:space="preserve">Service performs the Application dependency health checks to ensure no upstream / downstream issues. </v>
      </c>
      <c r="E30" s="169" t="s">
        <v>187</v>
      </c>
      <c r="F30" s="73"/>
      <c r="G30" s="73" t="s">
        <v>188</v>
      </c>
      <c r="H30" s="170" t="s">
        <v>189</v>
      </c>
      <c r="I30" s="8"/>
      <c r="J30" s="16"/>
    </row>
    <row r="31" spans="2:10" ht="16">
      <c r="B31" s="35" t="s">
        <v>54</v>
      </c>
      <c r="C31" s="42" t="s">
        <v>64</v>
      </c>
      <c r="D31" t="str">
        <f>'Layer to Metric (mapping)'!E27</f>
        <v>Service monitors custom (application specific) error checks to observe any anomalies which could cause business distrubtion.</v>
      </c>
      <c r="E31" s="169" t="s">
        <v>187</v>
      </c>
      <c r="F31" s="73"/>
      <c r="G31" s="73" t="s">
        <v>188</v>
      </c>
      <c r="H31" s="170" t="s">
        <v>189</v>
      </c>
      <c r="I31" s="8"/>
      <c r="J31" s="16"/>
    </row>
    <row r="32" spans="2:10" ht="16">
      <c r="B32" s="35" t="s">
        <v>54</v>
      </c>
      <c r="C32" s="42" t="s">
        <v>66</v>
      </c>
      <c r="D32" t="str">
        <f>'Layer to Metric (mapping)'!E28</f>
        <v>Service monitors the Application error rate within the defined threshold budget.</v>
      </c>
      <c r="E32" s="169" t="s">
        <v>187</v>
      </c>
      <c r="F32" s="73"/>
      <c r="G32" s="73" t="s">
        <v>188</v>
      </c>
      <c r="H32" s="170" t="s">
        <v>189</v>
      </c>
      <c r="I32" s="8"/>
      <c r="J32" s="16"/>
    </row>
    <row r="33" spans="2:10" ht="16">
      <c r="B33" s="119" t="s">
        <v>54</v>
      </c>
      <c r="C33" s="120" t="s">
        <v>68</v>
      </c>
      <c r="D33" s="122" t="str">
        <f>'Layer to Metric (mapping)'!E29</f>
        <v>Service is onboarded to Mission Control.</v>
      </c>
      <c r="E33" s="169" t="s">
        <v>187</v>
      </c>
      <c r="F33" s="73"/>
      <c r="G33" s="173" t="s">
        <v>188</v>
      </c>
      <c r="H33" s="170" t="s">
        <v>189</v>
      </c>
      <c r="I33" s="8"/>
      <c r="J33" s="16"/>
    </row>
    <row r="34" spans="2:10" ht="16">
      <c r="B34" s="119" t="s">
        <v>54</v>
      </c>
      <c r="C34" s="120" t="s">
        <v>70</v>
      </c>
      <c r="D34" s="122" t="str">
        <f>'Layer to Metric (mapping)'!E30</f>
        <v>Service has integrated right set of health metrics to help detect issues promptly during incident triage.</v>
      </c>
      <c r="E34" s="169" t="s">
        <v>187</v>
      </c>
      <c r="F34" s="73"/>
      <c r="G34" s="173" t="s">
        <v>188</v>
      </c>
      <c r="H34" s="170" t="s">
        <v>189</v>
      </c>
      <c r="I34" s="8"/>
      <c r="J34" s="16"/>
    </row>
    <row r="35" spans="2:10" ht="16">
      <c r="B35" s="119" t="s">
        <v>54</v>
      </c>
      <c r="C35" s="120" t="s">
        <v>72</v>
      </c>
      <c r="D35" s="122" t="str">
        <f>'Layer to Metric (mapping)'!E31</f>
        <v>Service has embedded all application shared dependencies within their service architecture e.g., AuthN, API Gateway etc.</v>
      </c>
      <c r="E35" s="169" t="s">
        <v>187</v>
      </c>
      <c r="F35" s="73"/>
      <c r="G35" s="173" t="s">
        <v>188</v>
      </c>
      <c r="H35" s="170" t="s">
        <v>189</v>
      </c>
      <c r="I35" s="8"/>
      <c r="J35" s="16"/>
    </row>
    <row r="36" spans="2:10" ht="16">
      <c r="B36" s="119" t="s">
        <v>54</v>
      </c>
      <c r="C36" s="120" t="s">
        <v>74</v>
      </c>
      <c r="D36" s="122" t="str">
        <f>'Layer to Metric (mapping)'!E32</f>
        <v>Service has embedded all applicatin cloud dependencies within their service architecture e.g., ELB, ILB, DNS etc.</v>
      </c>
      <c r="E36" s="169" t="s">
        <v>187</v>
      </c>
      <c r="F36" s="73"/>
      <c r="G36" s="173" t="s">
        <v>188</v>
      </c>
      <c r="H36" s="170" t="s">
        <v>189</v>
      </c>
      <c r="I36" s="8"/>
      <c r="J36" s="16"/>
    </row>
    <row r="37" spans="2:10" ht="16">
      <c r="B37" s="35" t="s">
        <v>76</v>
      </c>
      <c r="C37" s="37" t="s">
        <v>78</v>
      </c>
      <c r="D37" t="str">
        <f>'Layer to Metric (mapping)'!E33</f>
        <v xml:space="preserve">Actual service availability (uptime) in production. This is based on combination of 2 key metrics: a) Synthetics: Service Availability b) VM node / Pod uptime availability </v>
      </c>
      <c r="E37" s="171" t="s">
        <v>187</v>
      </c>
      <c r="F37" s="73"/>
      <c r="G37" s="73" t="s">
        <v>188</v>
      </c>
      <c r="H37" s="172" t="s">
        <v>189</v>
      </c>
      <c r="I37" s="8"/>
      <c r="J37" s="16"/>
    </row>
    <row r="38" spans="2:10" ht="16">
      <c r="B38" s="35" t="s">
        <v>76</v>
      </c>
      <c r="C38" s="34" t="s">
        <v>80</v>
      </c>
      <c r="D38" t="str">
        <f>'Layer to Metric (mapping)'!E34</f>
        <v>Service monitors the success rate. This indicate the percentage of successful business transactions serviced (interactive and/or background processing).</v>
      </c>
      <c r="E38" s="171" t="s">
        <v>187</v>
      </c>
      <c r="F38" s="73"/>
      <c r="G38" s="73" t="s">
        <v>188</v>
      </c>
      <c r="H38" s="172" t="s">
        <v>189</v>
      </c>
      <c r="I38" s="8"/>
      <c r="J38" s="16"/>
    </row>
    <row r="39" spans="2:10" ht="16">
      <c r="B39" s="35" t="s">
        <v>76</v>
      </c>
      <c r="C39" s="39" t="s">
        <v>82</v>
      </c>
      <c r="D39" t="str">
        <f>'Layer to Metric (mapping)'!E35</f>
        <v>Service monitors the integration touch points primarily w.r.t upstream and downstream services. This helps gain insights if data is exchanged as per the defined contract.</v>
      </c>
      <c r="E39" s="169" t="s">
        <v>187</v>
      </c>
      <c r="F39" s="73"/>
      <c r="G39" s="173" t="s">
        <v>188</v>
      </c>
      <c r="H39" s="170" t="s">
        <v>189</v>
      </c>
      <c r="I39" s="8"/>
      <c r="J39" s="16"/>
    </row>
    <row r="40" spans="2:10" ht="16">
      <c r="B40" s="35" t="s">
        <v>76</v>
      </c>
      <c r="C40" s="42" t="s">
        <v>84</v>
      </c>
      <c r="D40" t="str">
        <f>'Layer to Metric (mapping)'!E36</f>
        <v>Service monitors usage metrics to understand how the system, application, and/or a given feature is being used by the customer. This help understand users behavior, interaction with the system etc.</v>
      </c>
      <c r="E40" s="169" t="s">
        <v>187</v>
      </c>
      <c r="F40" s="73"/>
      <c r="G40" s="173" t="s">
        <v>188</v>
      </c>
      <c r="H40" s="170" t="s">
        <v>189</v>
      </c>
      <c r="I40" s="8"/>
      <c r="J40" s="16"/>
    </row>
    <row r="41" spans="2:10" ht="16">
      <c r="B41" s="35" t="s">
        <v>76</v>
      </c>
      <c r="C41" s="42" t="s">
        <v>87</v>
      </c>
      <c r="D41" t="str">
        <f>'Layer to Metric (mapping)'!E37</f>
        <v>Service measures the number of requests handled by the system per unit of time (e.g., requests per second).</v>
      </c>
      <c r="E41" s="169" t="s">
        <v>187</v>
      </c>
      <c r="F41" s="73"/>
      <c r="G41" s="173" t="s">
        <v>188</v>
      </c>
      <c r="H41" s="170" t="s">
        <v>189</v>
      </c>
      <c r="I41" s="8"/>
      <c r="J41" s="16"/>
    </row>
    <row r="42" spans="2:10" ht="16">
      <c r="B42" s="35" t="s">
        <v>76</v>
      </c>
      <c r="C42" s="42" t="s">
        <v>89</v>
      </c>
      <c r="D42" t="str">
        <f>'Layer to Metric (mapping)'!E38</f>
        <v>Service measures the time taken for requests to complete, usually tracked using percentiles (e.g., p95, p99) to capture slowest responses.</v>
      </c>
      <c r="E42" s="169" t="s">
        <v>187</v>
      </c>
      <c r="F42" s="73"/>
      <c r="G42" s="73" t="s">
        <v>188</v>
      </c>
      <c r="H42" s="170" t="s">
        <v>189</v>
      </c>
      <c r="I42" s="8"/>
      <c r="J42" s="16"/>
    </row>
    <row r="43" spans="2:10" ht="16">
      <c r="B43" s="35" t="s">
        <v>76</v>
      </c>
      <c r="C43" s="42" t="s">
        <v>91</v>
      </c>
      <c r="D43" t="str">
        <f>'Layer to Metric (mapping)'!E39</f>
        <v>Service measures all the business metrics which are critical to an business application to help maintain customer experience.</v>
      </c>
      <c r="E43" s="169" t="s">
        <v>187</v>
      </c>
      <c r="F43" s="73"/>
      <c r="G43" s="73" t="s">
        <v>188</v>
      </c>
      <c r="H43" s="170" t="s">
        <v>189</v>
      </c>
      <c r="I43" s="8"/>
      <c r="J43" s="16"/>
    </row>
    <row r="44" spans="2:10" ht="16">
      <c r="B44" s="35" t="s">
        <v>76</v>
      </c>
      <c r="C44" s="78" t="s">
        <v>93</v>
      </c>
      <c r="D44" t="str">
        <f>'Layer to Metric (mapping)'!E40</f>
        <v>Service measures the tenant fairness end to end. This ensures that each tenant gets fair access to resources and services, even when they are sharing the same infrastructure.</v>
      </c>
      <c r="E44" s="169" t="s">
        <v>187</v>
      </c>
      <c r="F44" s="73"/>
      <c r="G44" s="73" t="s">
        <v>188</v>
      </c>
      <c r="H44" s="170" t="s">
        <v>189</v>
      </c>
      <c r="I44" s="8"/>
      <c r="J44" s="16"/>
    </row>
    <row r="45" spans="2:10" ht="16">
      <c r="B45" s="35" t="s">
        <v>76</v>
      </c>
      <c r="C45" s="78" t="s">
        <v>190</v>
      </c>
      <c r="D45" t="str">
        <f>'Layer to Metric (mapping)'!E41</f>
        <v>Service measures the tenant specific error rate.</v>
      </c>
      <c r="E45" s="169" t="s">
        <v>187</v>
      </c>
      <c r="F45" s="73"/>
      <c r="G45" s="73" t="s">
        <v>188</v>
      </c>
      <c r="H45" s="170" t="s">
        <v>189</v>
      </c>
      <c r="I45" s="8"/>
      <c r="J45" s="16"/>
    </row>
    <row r="46" spans="2:10" ht="16">
      <c r="B46" s="35" t="s">
        <v>76</v>
      </c>
      <c r="C46" s="78" t="s">
        <v>191</v>
      </c>
      <c r="D46" t="str">
        <f>'Layer to Metric (mapping)'!E42</f>
        <v>Service measures tenant specific response latency. This would help in gaining insights on tenant specific issues (e.g. high latency due to noisy tenant in the system).</v>
      </c>
      <c r="E46" s="169" t="s">
        <v>187</v>
      </c>
      <c r="F46" s="73"/>
      <c r="G46" s="73" t="s">
        <v>188</v>
      </c>
      <c r="H46" s="170" t="s">
        <v>189</v>
      </c>
      <c r="I46" s="8"/>
      <c r="J46" s="16"/>
    </row>
    <row r="47" spans="2:10" ht="16">
      <c r="B47" s="35" t="s">
        <v>76</v>
      </c>
      <c r="C47" s="50" t="s">
        <v>99</v>
      </c>
      <c r="D47" t="str">
        <f>'Layer to Metric (mapping)'!E43</f>
        <v xml:space="preserve">Service measure how well users integrate a product or feature into their regular usage, indicating the success of new releases or features. These metrics provide valuable insights into user behavior and help product teams understand if their efforts are meeting user needs and goals. </v>
      </c>
      <c r="E47" s="169" t="s">
        <v>187</v>
      </c>
      <c r="F47" s="73"/>
      <c r="G47" s="73" t="s">
        <v>188</v>
      </c>
      <c r="H47" s="170" t="s">
        <v>189</v>
      </c>
      <c r="I47" s="8"/>
      <c r="J47" s="16"/>
    </row>
    <row r="48" spans="2:10" ht="16">
      <c r="B48" s="35" t="s">
        <v>76</v>
      </c>
      <c r="C48" s="42" t="s">
        <v>101</v>
      </c>
      <c r="D48" t="str">
        <f>'Layer to Metric (mapping)'!E44</f>
        <v>Service monitors Historical trends to spot long term issues, such as performance degradation, memory leak, resource overuse.</v>
      </c>
      <c r="E48" s="169" t="s">
        <v>187</v>
      </c>
      <c r="F48" s="73"/>
      <c r="G48" s="73" t="s">
        <v>188</v>
      </c>
      <c r="H48" s="170" t="s">
        <v>189</v>
      </c>
      <c r="I48" s="8"/>
      <c r="J48" s="16"/>
    </row>
    <row r="49" spans="2:10" ht="16">
      <c r="B49" s="35" t="s">
        <v>76</v>
      </c>
      <c r="C49" s="42" t="s">
        <v>103</v>
      </c>
      <c r="D49" t="str">
        <f>'Layer to Metric (mapping)'!E45</f>
        <v>Service alerts have actionable SOPs to restore service and/or business functionality.</v>
      </c>
      <c r="E49" s="169" t="s">
        <v>187</v>
      </c>
      <c r="F49" s="73"/>
      <c r="G49" s="73" t="s">
        <v>188</v>
      </c>
      <c r="H49" s="170" t="s">
        <v>189</v>
      </c>
      <c r="I49" s="8"/>
      <c r="J49" s="16"/>
    </row>
    <row r="50" spans="2:10" ht="16">
      <c r="B50" s="35" t="s">
        <v>76</v>
      </c>
      <c r="C50" s="42" t="s">
        <v>105</v>
      </c>
      <c r="D50" t="str">
        <f>'Layer to Metric (mapping)'!E46</f>
        <v>Service alerts are configured to UKG incident management system, Pager Duty, to prevent and resolve business-impacting incidents.</v>
      </c>
      <c r="E50" s="169" t="s">
        <v>187</v>
      </c>
      <c r="F50" s="73"/>
      <c r="G50" s="73" t="s">
        <v>188</v>
      </c>
      <c r="H50" s="170" t="s">
        <v>189</v>
      </c>
      <c r="I50" s="8"/>
      <c r="J50" s="16"/>
    </row>
    <row r="51" spans="2:10" ht="16">
      <c r="B51" s="35" t="s">
        <v>107</v>
      </c>
      <c r="C51" s="39" t="s">
        <v>109</v>
      </c>
      <c r="D51" t="str">
        <f>'Layer to Metric (mapping)'!E47</f>
        <v>Average time it takes from when an alert is triggered to when work begins on the issue. This metric is useful for tracking your team’s responsiveness and your alert system’s effectiveness. To calculate your MTTA, add up the time between alert and acknowledgement, then divide by the number of incidents.</v>
      </c>
      <c r="E51" s="169" t="s">
        <v>192</v>
      </c>
      <c r="F51" s="73"/>
      <c r="G51" s="73" t="s">
        <v>193</v>
      </c>
      <c r="H51" s="170" t="s">
        <v>194</v>
      </c>
      <c r="I51" s="9"/>
      <c r="J51" s="16"/>
    </row>
    <row r="52" spans="2:10" ht="16">
      <c r="B52" s="35" t="s">
        <v>107</v>
      </c>
      <c r="C52" s="39" t="s">
        <v>111</v>
      </c>
      <c r="D52" t="str">
        <f>'Layer to Metric (mapping)'!E48</f>
        <v>Average time it takes to resolve a system or product failure, from the time the problem occurs to when the system is fully operational again. This is a crucial metric for understanding how efficiently an organization can respond to and resolve incidents, ultimately impacting system reliability and user satisfaction. It is calculated by summing the total time taken to mitigate all incidents within a specific period and then dividing that total by the number of incidents during that period.</v>
      </c>
      <c r="E52" s="169" t="s">
        <v>195</v>
      </c>
      <c r="F52" s="73"/>
      <c r="G52" s="73" t="s">
        <v>196</v>
      </c>
      <c r="H52" s="170" t="s">
        <v>197</v>
      </c>
      <c r="I52" s="9"/>
      <c r="J52" s="16"/>
    </row>
    <row r="53" spans="2:10" ht="16">
      <c r="B53" s="35" t="s">
        <v>107</v>
      </c>
      <c r="C53" s="42" t="s">
        <v>113</v>
      </c>
      <c r="D53" t="str">
        <f>'Layer to Metric (mapping)'!E49</f>
        <v>Total count of alerts that indicates a problem or threat when, in reality, there is none.</v>
      </c>
      <c r="E53" s="169">
        <v>0</v>
      </c>
      <c r="F53" s="73"/>
      <c r="G53" s="73">
        <v>1</v>
      </c>
      <c r="H53" s="170" t="s">
        <v>198</v>
      </c>
      <c r="I53" s="9"/>
      <c r="J53" s="16"/>
    </row>
    <row r="54" spans="2:10" ht="16">
      <c r="B54" s="35" t="s">
        <v>107</v>
      </c>
      <c r="C54" s="39" t="s">
        <v>115</v>
      </c>
      <c r="D54" t="str">
        <f>'Layer to Metric (mapping)'!E50</f>
        <v>The count of alerts generated in Pager Duty for a Service.</v>
      </c>
      <c r="E54" s="169" t="s">
        <v>199</v>
      </c>
      <c r="F54" s="73"/>
      <c r="G54" s="174" t="s">
        <v>200</v>
      </c>
      <c r="H54" s="170" t="s">
        <v>201</v>
      </c>
      <c r="I54" s="9"/>
      <c r="J54" s="16"/>
    </row>
    <row r="55" spans="2:10" ht="16">
      <c r="B55" s="35" t="s">
        <v>107</v>
      </c>
      <c r="C55" s="39" t="s">
        <v>117</v>
      </c>
      <c r="D55" t="str">
        <f>'Layer to Metric (mapping)'!E51</f>
        <v>The number of incidents opened for a Service resulted in a swarm bridge.</v>
      </c>
      <c r="E55" s="169" t="s">
        <v>202</v>
      </c>
      <c r="F55" s="73"/>
      <c r="G55" s="174" t="s">
        <v>203</v>
      </c>
      <c r="H55" s="170" t="s">
        <v>204</v>
      </c>
      <c r="I55" s="9"/>
      <c r="J55" s="16"/>
    </row>
    <row r="56" spans="2:10" ht="16">
      <c r="B56" s="35" t="s">
        <v>107</v>
      </c>
      <c r="C56" s="39" t="s">
        <v>119</v>
      </c>
      <c r="D56" t="str">
        <f>'Layer to Metric (mapping)'!E52</f>
        <v>The number of changes related to emergency fixes and/or critical updates post a standard release.</v>
      </c>
      <c r="E56" s="169">
        <v>0</v>
      </c>
      <c r="F56" s="73"/>
      <c r="G56" s="73">
        <v>1</v>
      </c>
      <c r="H56" s="170" t="s">
        <v>198</v>
      </c>
      <c r="I56" s="9"/>
      <c r="J56" s="16"/>
    </row>
    <row r="57" spans="2:10" ht="16">
      <c r="B57" s="14"/>
      <c r="C57" s="19"/>
      <c r="D57" s="21"/>
      <c r="E57" s="22"/>
      <c r="F57" s="20"/>
      <c r="G57" s="20"/>
      <c r="H57" s="21"/>
      <c r="I57" s="4"/>
      <c r="J57" s="21"/>
    </row>
    <row r="58" spans="2:10" ht="16">
      <c r="I58" s="1"/>
    </row>
    <row r="59" spans="2:10" ht="16">
      <c r="I59" s="1"/>
    </row>
    <row r="60" spans="2:10" ht="16"/>
  </sheetData>
  <sheetProtection algorithmName="SHA-512" hashValue="cSpb41UpCg9GqaaN6eGWOG32hJCJDfTYYJQtzAH8z4umvuDDxZAI+r88RwqPnq+iPz48RvL6JIi3cj/zsvQCXQ==" saltValue="NG4V5+da8mUjjmMmOF6ucg==" spinCount="100000" sheet="1" objects="1" scenarios="1"/>
  <mergeCells count="9">
    <mergeCell ref="B1:J1"/>
    <mergeCell ref="B5:B6"/>
    <mergeCell ref="B2:J2"/>
    <mergeCell ref="B3:J4"/>
    <mergeCell ref="C5:C6"/>
    <mergeCell ref="D5:D6"/>
    <mergeCell ref="E5:H5"/>
    <mergeCell ref="I5:I6"/>
    <mergeCell ref="J5:J6"/>
  </mergeCells>
  <conditionalFormatting sqref="H62:I62">
    <cfRule type="colorScale" priority="475">
      <colorScale>
        <cfvo type="min"/>
        <cfvo type="percentile" val="50"/>
        <cfvo type="max"/>
        <color rgb="FFF8696B"/>
        <color rgb="FFFFEB84"/>
        <color rgb="FF63BE7B"/>
      </colorScale>
    </cfRule>
  </conditionalFormatting>
  <conditionalFormatting sqref="I51">
    <cfRule type="expression" dxfId="3450" priority="48" stopIfTrue="1">
      <formula>ISNUMBER(I51)=FALSE</formula>
    </cfRule>
    <cfRule type="cellIs" dxfId="3449" priority="49" stopIfTrue="1" operator="greaterThan">
      <formula>15</formula>
    </cfRule>
    <cfRule type="cellIs" dxfId="3448" priority="50" stopIfTrue="1" operator="between">
      <formula>10</formula>
      <formula>15</formula>
    </cfRule>
    <cfRule type="cellIs" dxfId="3447" priority="51" stopIfTrue="1" operator="lessThan">
      <formula>10</formula>
    </cfRule>
  </conditionalFormatting>
  <conditionalFormatting sqref="I52">
    <cfRule type="expression" dxfId="3446" priority="43" stopIfTrue="1">
      <formula>ISNUMBER(I52)=FALSE</formula>
    </cfRule>
    <cfRule type="cellIs" dxfId="3445" priority="44" stopIfTrue="1" operator="greaterThan">
      <formula>90</formula>
    </cfRule>
    <cfRule type="cellIs" dxfId="3444" priority="45" stopIfTrue="1" operator="between">
      <formula>60</formula>
      <formula>90</formula>
    </cfRule>
    <cfRule type="cellIs" dxfId="3443" priority="47" stopIfTrue="1" operator="lessThan">
      <formula>60</formula>
    </cfRule>
  </conditionalFormatting>
  <conditionalFormatting sqref="I53">
    <cfRule type="expression" dxfId="3442" priority="38" stopIfTrue="1">
      <formula>ISNUMBER(I53)=FALSE</formula>
    </cfRule>
    <cfRule type="cellIs" dxfId="3441" priority="39" stopIfTrue="1" operator="greaterThan">
      <formula>1</formula>
    </cfRule>
    <cfRule type="cellIs" dxfId="3440" priority="40" stopIfTrue="1" operator="equal">
      <formula>1</formula>
    </cfRule>
    <cfRule type="cellIs" dxfId="3439" priority="42" stopIfTrue="1" operator="equal">
      <formula>0</formula>
    </cfRule>
  </conditionalFormatting>
  <conditionalFormatting sqref="I55">
    <cfRule type="expression" dxfId="3438" priority="33" stopIfTrue="1">
      <formula>ISNUMBER(I55)=FALSE</formula>
    </cfRule>
    <cfRule type="cellIs" dxfId="3437" priority="34" stopIfTrue="1" operator="greaterThan">
      <formula>5</formula>
    </cfRule>
    <cfRule type="cellIs" dxfId="3436" priority="35" stopIfTrue="1" operator="between">
      <formula>2</formula>
      <formula>5</formula>
    </cfRule>
    <cfRule type="cellIs" dxfId="3435" priority="37" stopIfTrue="1" operator="lessThanOrEqual">
      <formula>2</formula>
    </cfRule>
  </conditionalFormatting>
  <conditionalFormatting sqref="I54">
    <cfRule type="expression" dxfId="3434" priority="28" stopIfTrue="1">
      <formula>ISNUMBER(I54)=FALSE</formula>
    </cfRule>
    <cfRule type="cellIs" dxfId="3433" priority="29" stopIfTrue="1" operator="greaterThan">
      <formula>20</formula>
    </cfRule>
    <cfRule type="cellIs" dxfId="3432" priority="30" stopIfTrue="1" operator="between">
      <formula>10</formula>
      <formula>20</formula>
    </cfRule>
    <cfRule type="cellIs" dxfId="3431" priority="32" stopIfTrue="1" operator="lessThan">
      <formula>10</formula>
    </cfRule>
  </conditionalFormatting>
  <conditionalFormatting sqref="I56">
    <cfRule type="expression" dxfId="3430" priority="23" stopIfTrue="1">
      <formula>ISNUMBER(I56)=FALSE</formula>
    </cfRule>
    <cfRule type="cellIs" dxfId="3429" priority="24" stopIfTrue="1" operator="greaterThan">
      <formula>1</formula>
    </cfRule>
    <cfRule type="cellIs" dxfId="3428" priority="25" stopIfTrue="1" operator="equal">
      <formula>1</formula>
    </cfRule>
    <cfRule type="cellIs" dxfId="3427" priority="27" stopIfTrue="1" operator="equal">
      <formula>0</formula>
    </cfRule>
  </conditionalFormatting>
  <conditionalFormatting sqref="I7:I50">
    <cfRule type="expression" dxfId="3426" priority="4" stopIfTrue="1">
      <formula>IF(OR(I7="Y",I7="y",I7="Partial",I7="partial"),TRUE,FALSE)=FALSE</formula>
    </cfRule>
    <cfRule type="expression" dxfId="3425" priority="5" stopIfTrue="1">
      <formula>IF(OR(I7="Partial",I7="partial"),TRUE,FALSE)=TRUE</formula>
    </cfRule>
    <cfRule type="expression" dxfId="3424" priority="6" stopIfTrue="1">
      <formula>IF(OR(I7="Y",I7="y"),TRUE,FALSE)=TRUE</formula>
    </cfRule>
  </conditionalFormatting>
  <conditionalFormatting sqref="I7:I56">
    <cfRule type="cellIs" dxfId="3423" priority="3" stopIfTrue="1" operator="equal">
      <formula>"N/A"</formula>
    </cfRule>
  </conditionalFormatting>
  <conditionalFormatting sqref="I51:I56">
    <cfRule type="notContainsBlanks" dxfId="3422" priority="1" stopIfTrue="1">
      <formula>LEN(TRIM(I51))&gt;0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37716-33EC-C94E-B8C7-2A7D9647C4FB}">
  <sheetPr codeName="Sheet2">
    <tabColor theme="8" tint="0.79998168889431442"/>
  </sheetPr>
  <dimension ref="A2:X64"/>
  <sheetViews>
    <sheetView zoomScaleNormal="100" workbookViewId="0">
      <selection activeCell="T10" sqref="T10:T11"/>
    </sheetView>
  </sheetViews>
  <sheetFormatPr baseColWidth="10" defaultColWidth="11" defaultRowHeight="12" outlineLevelCol="1"/>
  <cols>
    <col min="1" max="1" width="1.5" style="70" customWidth="1"/>
    <col min="2" max="2" width="7.5" style="70" bestFit="1" customWidth="1"/>
    <col min="3" max="3" width="48.83203125" style="70" customWidth="1"/>
    <col min="4" max="4" width="7.5" style="70" hidden="1" customWidth="1" outlineLevel="1"/>
    <col min="5" max="5" width="0.33203125" style="70" hidden="1" customWidth="1" outlineLevel="1"/>
    <col min="6" max="6" width="9.5" style="70" hidden="1" customWidth="1" outlineLevel="1"/>
    <col min="7" max="7" width="7.5" style="70" hidden="1" customWidth="1" outlineLevel="1"/>
    <col min="8" max="8" width="4" style="70" customWidth="1" collapsed="1"/>
    <col min="9" max="13" width="4" style="70" bestFit="1" customWidth="1"/>
    <col min="14" max="14" width="3.83203125" style="70" bestFit="1" customWidth="1"/>
    <col min="15" max="19" width="3.83203125" style="70" customWidth="1"/>
    <col min="20" max="20" width="4" style="70" customWidth="1"/>
    <col min="21" max="21" width="2.83203125" style="70" bestFit="1" customWidth="1"/>
    <col min="22" max="22" width="4.5" style="70" customWidth="1"/>
    <col min="23" max="23" width="3.83203125" style="70" customWidth="1"/>
    <col min="24" max="24" width="4.1640625" style="70" customWidth="1"/>
    <col min="25" max="16384" width="11" style="70"/>
  </cols>
  <sheetData>
    <row r="2" spans="1:24" ht="18" customHeight="1">
      <c r="C2" s="157"/>
      <c r="H2" s="365" t="s">
        <v>205</v>
      </c>
      <c r="I2" s="366"/>
      <c r="J2" s="366"/>
      <c r="K2" s="366"/>
      <c r="L2" s="366"/>
      <c r="M2" s="366"/>
      <c r="N2" s="366"/>
      <c r="O2" s="366"/>
      <c r="P2" s="366"/>
      <c r="Q2" s="366"/>
      <c r="R2" s="366"/>
      <c r="S2" s="366"/>
      <c r="T2" s="366"/>
      <c r="U2" s="366"/>
      <c r="V2" s="366"/>
      <c r="W2" s="366"/>
      <c r="X2" s="367"/>
    </row>
    <row r="3" spans="1:24" ht="19.5" customHeight="1">
      <c r="C3" s="204" t="s">
        <v>206</v>
      </c>
      <c r="D3" s="153"/>
      <c r="E3" s="153"/>
      <c r="F3" s="153"/>
      <c r="G3" s="153"/>
      <c r="H3" s="313">
        <f>SUM(COUNTIF(H13:H56,"Y"),COUNTIF(H13:H56,"N/A"))/COUNTA(H13:H56)</f>
        <v>9.0909090909090912E-2</v>
      </c>
      <c r="I3" s="313">
        <f t="shared" ref="I3:N3" si="0">SUM(COUNTIF(I13:I56,"Y"),COUNTIF(I13:I56,"N/A"))/COUNTA(I13:I56)</f>
        <v>0.15909090909090909</v>
      </c>
      <c r="J3" s="313">
        <f t="shared" ref="J3:K3" si="1">SUM(COUNTIF(J13:J56,"Y"),COUNTIF(J13:J56,"N/A"))/COUNTA(J13:J56)</f>
        <v>0.15909090909090909</v>
      </c>
      <c r="K3" s="313">
        <f t="shared" si="1"/>
        <v>0.15909090909090909</v>
      </c>
      <c r="L3" s="313">
        <f t="shared" si="0"/>
        <v>0.70454545454545459</v>
      </c>
      <c r="M3" s="313">
        <f t="shared" si="0"/>
        <v>0.5</v>
      </c>
      <c r="N3" s="313">
        <f t="shared" si="0"/>
        <v>0.68181818181818177</v>
      </c>
      <c r="O3" s="313">
        <f t="shared" ref="O3:U3" si="2">SUM(COUNTIF(O13:O56,"Y"),COUNTIF(O13:O56,"N/A"))/COUNTA(O13:O56)</f>
        <v>0.65909090909090906</v>
      </c>
      <c r="P3" s="313">
        <f t="shared" si="2"/>
        <v>0.5</v>
      </c>
      <c r="Q3" s="313">
        <f t="shared" si="2"/>
        <v>1</v>
      </c>
      <c r="R3" s="313">
        <f t="shared" si="2"/>
        <v>0.54545454545454541</v>
      </c>
      <c r="S3" s="313">
        <f t="shared" si="2"/>
        <v>0.13636363636363635</v>
      </c>
      <c r="T3" s="313">
        <f t="shared" si="2"/>
        <v>0.54545454545454541</v>
      </c>
      <c r="U3" s="313">
        <f t="shared" si="2"/>
        <v>0</v>
      </c>
      <c r="V3" s="313">
        <f t="shared" ref="V3:X3" si="3">SUM(COUNTIF(V13:V56,"Y"),COUNTIF(V13:V56,"N/A"))/COUNTA(V13:V56)</f>
        <v>0.88636363636363635</v>
      </c>
      <c r="W3" s="313">
        <f t="shared" si="3"/>
        <v>0.65909090909090906</v>
      </c>
      <c r="X3" s="313">
        <f t="shared" si="3"/>
        <v>0.54545454545454541</v>
      </c>
    </row>
    <row r="4" spans="1:24" ht="18.75" customHeight="1">
      <c r="C4" s="71" t="s">
        <v>8</v>
      </c>
      <c r="D4" s="71"/>
      <c r="E4" s="71"/>
      <c r="F4" s="71"/>
      <c r="H4" s="166">
        <f t="shared" ref="H4:N4" si="4">SUM(COUNTIF(H13:H18,"Y"),COUNTIF(H13:H18,"N/A"))/COUNTA(H13:H18)</f>
        <v>0.16666666666666666</v>
      </c>
      <c r="I4" s="166">
        <f t="shared" si="4"/>
        <v>0.16666666666666666</v>
      </c>
      <c r="J4" s="166">
        <f t="shared" ref="J4:K4" si="5">SUM(COUNTIF(J13:J18,"Y"),COUNTIF(J13:J18,"N/A"))/COUNTA(J13:J18)</f>
        <v>0.16666666666666666</v>
      </c>
      <c r="K4" s="166">
        <f t="shared" si="5"/>
        <v>0.16666666666666666</v>
      </c>
      <c r="L4" s="166">
        <f t="shared" si="4"/>
        <v>0.16666666666666666</v>
      </c>
      <c r="M4" s="166">
        <f t="shared" si="4"/>
        <v>0</v>
      </c>
      <c r="N4" s="166">
        <f t="shared" si="4"/>
        <v>0.16666666666666666</v>
      </c>
      <c r="O4" s="166">
        <f t="shared" ref="O4:U4" si="6">SUM(COUNTIF(O13:O18,"Y"),COUNTIF(O13:O18,"N/A"))/COUNTA(O13:O18)</f>
        <v>0.16666666666666666</v>
      </c>
      <c r="P4" s="166">
        <f t="shared" si="6"/>
        <v>1</v>
      </c>
      <c r="Q4" s="166">
        <f t="shared" si="6"/>
        <v>1</v>
      </c>
      <c r="R4" s="166">
        <f t="shared" si="6"/>
        <v>1</v>
      </c>
      <c r="S4" s="166">
        <f t="shared" si="6"/>
        <v>0</v>
      </c>
      <c r="T4" s="166">
        <f t="shared" si="6"/>
        <v>0.66666666666666663</v>
      </c>
      <c r="U4" s="166">
        <f t="shared" si="6"/>
        <v>0</v>
      </c>
      <c r="V4" s="166">
        <f t="shared" ref="V4:X4" si="7">SUM(COUNTIF(V13:V18,"Y"),COUNTIF(V13:V18,"N/A"))/COUNTA(V13:V18)</f>
        <v>1</v>
      </c>
      <c r="W4" s="166">
        <f t="shared" si="7"/>
        <v>0.33333333333333331</v>
      </c>
      <c r="X4" s="166">
        <f t="shared" si="7"/>
        <v>0.33333333333333331</v>
      </c>
    </row>
    <row r="5" spans="1:24" ht="18.75" customHeight="1">
      <c r="C5" s="71" t="s">
        <v>22</v>
      </c>
      <c r="D5" s="71"/>
      <c r="E5" s="71"/>
      <c r="F5" s="71"/>
      <c r="H5" s="166">
        <f>SUM(COUNTIF(H19:H25,"Y"),COUNTIF(H19:H25,"N/A"))/COUNTA(H19:H25)</f>
        <v>0.42857142857142855</v>
      </c>
      <c r="I5" s="166">
        <f t="shared" ref="I5:N5" si="8">SUM(COUNTIF(I19:I25,"Y"),COUNTIF(I19:I25,"N/A"))/COUNTA(I19:I25)</f>
        <v>0.5714285714285714</v>
      </c>
      <c r="J5" s="166">
        <f t="shared" ref="J5:K5" si="9">SUM(COUNTIF(J19:J25,"Y"),COUNTIF(J19:J25,"N/A"))/COUNTA(J19:J25)</f>
        <v>0.5714285714285714</v>
      </c>
      <c r="K5" s="166">
        <f t="shared" si="9"/>
        <v>0.5714285714285714</v>
      </c>
      <c r="L5" s="166">
        <f t="shared" si="8"/>
        <v>1</v>
      </c>
      <c r="M5" s="166">
        <f t="shared" si="8"/>
        <v>0.5714285714285714</v>
      </c>
      <c r="N5" s="166">
        <f t="shared" si="8"/>
        <v>1</v>
      </c>
      <c r="O5" s="166">
        <f t="shared" ref="O5:U5" si="10">SUM(COUNTIF(O19:O25,"Y"),COUNTIF(O19:O25,"N/A"))/COUNTA(O19:O25)</f>
        <v>1</v>
      </c>
      <c r="P5" s="166">
        <f t="shared" si="10"/>
        <v>1</v>
      </c>
      <c r="Q5" s="166">
        <f t="shared" si="10"/>
        <v>1</v>
      </c>
      <c r="R5" s="166">
        <f t="shared" si="10"/>
        <v>1</v>
      </c>
      <c r="S5" s="166">
        <f t="shared" si="10"/>
        <v>0.5714285714285714</v>
      </c>
      <c r="T5" s="166">
        <f t="shared" si="10"/>
        <v>1</v>
      </c>
      <c r="U5" s="166">
        <f t="shared" si="10"/>
        <v>0</v>
      </c>
      <c r="V5" s="166">
        <f t="shared" ref="V5:X5" si="11">SUM(COUNTIF(V19:V25,"Y"),COUNTIF(V19:V25,"N/A"))/COUNTA(V19:V25)</f>
        <v>1</v>
      </c>
      <c r="W5" s="166">
        <f t="shared" si="11"/>
        <v>1</v>
      </c>
      <c r="X5" s="166">
        <f t="shared" si="11"/>
        <v>0.8571428571428571</v>
      </c>
    </row>
    <row r="6" spans="1:24" ht="18.75" customHeight="1">
      <c r="C6" s="71" t="s">
        <v>38</v>
      </c>
      <c r="D6" s="71"/>
      <c r="E6" s="71"/>
      <c r="F6" s="71"/>
      <c r="H6" s="166">
        <f>SUM(COUNTIF(H26:H32,"Y"),COUNTIF(H26:H32,"N/A"))/COUNTA(H26:H32)</f>
        <v>0</v>
      </c>
      <c r="I6" s="166">
        <f t="shared" ref="I6:N6" si="12">SUM(COUNTIF(I26:I32,"Y"),COUNTIF(I26:I32,"N/A"))/COUNTA(I26:I32)</f>
        <v>0</v>
      </c>
      <c r="J6" s="166">
        <f t="shared" ref="J6:K6" si="13">SUM(COUNTIF(J26:J32,"Y"),COUNTIF(J26:J32,"N/A"))/COUNTA(J26:J32)</f>
        <v>0</v>
      </c>
      <c r="K6" s="166">
        <f t="shared" si="13"/>
        <v>0</v>
      </c>
      <c r="L6" s="166">
        <f t="shared" si="12"/>
        <v>1</v>
      </c>
      <c r="M6" s="166">
        <f t="shared" si="12"/>
        <v>0</v>
      </c>
      <c r="N6" s="166">
        <f t="shared" si="12"/>
        <v>0.7142857142857143</v>
      </c>
      <c r="O6" s="166">
        <f t="shared" ref="O6:U6" si="14">SUM(COUNTIF(O26:O32,"Y"),COUNTIF(O26:O32,"N/A"))/COUNTA(O26:O32)</f>
        <v>0.7142857142857143</v>
      </c>
      <c r="P6" s="166">
        <f t="shared" si="14"/>
        <v>1</v>
      </c>
      <c r="Q6" s="166">
        <f t="shared" si="14"/>
        <v>1</v>
      </c>
      <c r="R6" s="166">
        <f t="shared" si="14"/>
        <v>1</v>
      </c>
      <c r="S6" s="166">
        <f t="shared" si="14"/>
        <v>0</v>
      </c>
      <c r="T6" s="166">
        <f t="shared" si="14"/>
        <v>0.5714285714285714</v>
      </c>
      <c r="U6" s="166">
        <f t="shared" si="14"/>
        <v>0</v>
      </c>
      <c r="V6" s="166">
        <f t="shared" ref="V6:X6" si="15">SUM(COUNTIF(V26:V32,"Y"),COUNTIF(V26:V32,"N/A"))/COUNTA(V26:V32)</f>
        <v>1</v>
      </c>
      <c r="W6" s="166">
        <f t="shared" si="15"/>
        <v>0.8571428571428571</v>
      </c>
      <c r="X6" s="166">
        <f t="shared" si="15"/>
        <v>0.42857142857142855</v>
      </c>
    </row>
    <row r="7" spans="1:24" ht="18.75" customHeight="1">
      <c r="C7" s="71" t="s">
        <v>54</v>
      </c>
      <c r="D7" s="71"/>
      <c r="E7" s="71"/>
      <c r="F7" s="71"/>
      <c r="H7" s="166">
        <f>SUM(COUNTIF(H33:H42,"Y"),COUNTIF(H33:H42,"N/A"))/COUNTA(H33:H42)</f>
        <v>0</v>
      </c>
      <c r="I7" s="166">
        <f t="shared" ref="I7:N7" si="16">SUM(COUNTIF(I33:I42,"Y"),COUNTIF(I33:I42,"N/A"))/COUNTA(I33:I42)</f>
        <v>0</v>
      </c>
      <c r="J7" s="166">
        <f t="shared" ref="J7:K7" si="17">SUM(COUNTIF(J33:J42,"Y"),COUNTIF(J33:J42,"N/A"))/COUNTA(J33:J42)</f>
        <v>0</v>
      </c>
      <c r="K7" s="166">
        <f t="shared" si="17"/>
        <v>0</v>
      </c>
      <c r="L7" s="166">
        <f t="shared" si="16"/>
        <v>1</v>
      </c>
      <c r="M7" s="166">
        <f t="shared" si="16"/>
        <v>1</v>
      </c>
      <c r="N7" s="166">
        <f t="shared" si="16"/>
        <v>0.9</v>
      </c>
      <c r="O7" s="166">
        <f t="shared" ref="O7:U7" si="18">SUM(COUNTIF(O33:O42,"Y"),COUNTIF(O33:O42,"N/A"))/COUNTA(O33:O42)</f>
        <v>0.9</v>
      </c>
      <c r="P7" s="166">
        <f t="shared" si="18"/>
        <v>0.2</v>
      </c>
      <c r="Q7" s="166">
        <f t="shared" si="18"/>
        <v>1</v>
      </c>
      <c r="R7" s="166">
        <f t="shared" si="18"/>
        <v>0.4</v>
      </c>
      <c r="S7" s="166">
        <f t="shared" si="18"/>
        <v>0.2</v>
      </c>
      <c r="T7" s="166">
        <f t="shared" si="18"/>
        <v>0.4</v>
      </c>
      <c r="U7" s="166">
        <f t="shared" si="18"/>
        <v>0</v>
      </c>
      <c r="V7" s="166">
        <f t="shared" ref="V7:X7" si="19">SUM(COUNTIF(V33:V42,"Y"),COUNTIF(V33:V42,"N/A"))/COUNTA(V33:V42)</f>
        <v>1</v>
      </c>
      <c r="W7" s="166">
        <f t="shared" si="19"/>
        <v>0.7</v>
      </c>
      <c r="X7" s="166">
        <f t="shared" si="19"/>
        <v>0.7</v>
      </c>
    </row>
    <row r="8" spans="1:24" ht="21" customHeight="1">
      <c r="C8" s="71" t="s">
        <v>76</v>
      </c>
      <c r="D8" s="71"/>
      <c r="E8" s="71"/>
      <c r="F8" s="71"/>
      <c r="H8" s="166">
        <f>SUM(COUNTIF(H43:H56,"Y"),COUNTIF(H43:H56,"N/A"))/COUNTA(H43:H56)</f>
        <v>0</v>
      </c>
      <c r="I8" s="166">
        <f t="shared" ref="I8:N8" si="20">SUM(COUNTIF(I43:I56,"Y"),COUNTIF(I43:I56,"N/A"))/COUNTA(I43:I56)</f>
        <v>0.14285714285714285</v>
      </c>
      <c r="J8" s="166">
        <f t="shared" ref="J8:K8" si="21">SUM(COUNTIF(J43:J56,"Y"),COUNTIF(J43:J56,"N/A"))/COUNTA(J43:J56)</f>
        <v>0.14285714285714285</v>
      </c>
      <c r="K8" s="166">
        <f t="shared" si="21"/>
        <v>0.14285714285714285</v>
      </c>
      <c r="L8" s="166">
        <f t="shared" si="20"/>
        <v>0.42857142857142855</v>
      </c>
      <c r="M8" s="166">
        <f t="shared" si="20"/>
        <v>0.5714285714285714</v>
      </c>
      <c r="N8" s="166">
        <f t="shared" si="20"/>
        <v>0.5714285714285714</v>
      </c>
      <c r="O8" s="166">
        <f t="shared" ref="O8:U8" si="22">SUM(COUNTIF(O43:O56,"Y"),COUNTIF(O43:O56,"N/A"))/COUNTA(O43:O56)</f>
        <v>0.5</v>
      </c>
      <c r="P8" s="166">
        <f t="shared" si="22"/>
        <v>0</v>
      </c>
      <c r="Q8" s="166">
        <f t="shared" si="22"/>
        <v>1</v>
      </c>
      <c r="R8" s="166">
        <f t="shared" si="22"/>
        <v>0</v>
      </c>
      <c r="S8" s="166">
        <f t="shared" si="22"/>
        <v>0</v>
      </c>
      <c r="T8" s="166">
        <f t="shared" si="22"/>
        <v>0.35714285714285715</v>
      </c>
      <c r="U8" s="166">
        <f t="shared" si="22"/>
        <v>0</v>
      </c>
      <c r="V8" s="166">
        <f t="shared" ref="V8:X8" si="23">SUM(COUNTIF(V43:V56,"Y"),COUNTIF(V43:V56,"N/A"))/COUNTA(V43:V56)</f>
        <v>0.6428571428571429</v>
      </c>
      <c r="W8" s="166">
        <f t="shared" si="23"/>
        <v>0.5</v>
      </c>
      <c r="X8" s="166">
        <f t="shared" si="23"/>
        <v>0.42857142857142855</v>
      </c>
    </row>
    <row r="9" spans="1:24" ht="12" customHeight="1" thickBot="1">
      <c r="B9" s="182"/>
      <c r="C9" s="368"/>
      <c r="D9" s="368"/>
      <c r="E9" s="368"/>
      <c r="F9" s="368"/>
      <c r="G9" s="368"/>
      <c r="V9" s="158"/>
    </row>
    <row r="10" spans="1:24" ht="81" customHeight="1">
      <c r="A10" s="156"/>
      <c r="B10" s="375" t="s">
        <v>184</v>
      </c>
      <c r="C10" s="376"/>
      <c r="D10" s="377" t="s">
        <v>207</v>
      </c>
      <c r="E10" s="378"/>
      <c r="F10" s="378"/>
      <c r="G10" s="379"/>
      <c r="H10" s="371" t="str">
        <f>Instructions!B8</f>
        <v>Bryte Activation</v>
      </c>
      <c r="I10" s="373" t="str">
        <f>Instructions!B9</f>
        <v>Intent Classifier And Entity Recognition</v>
      </c>
      <c r="J10" s="382" t="str">
        <f>Instructions!B10</f>
        <v>Adversarial Check</v>
      </c>
      <c r="K10" s="382" t="str">
        <f>Instructions!B11</f>
        <v xml:space="preserve">Intent Training Metrics </v>
      </c>
      <c r="L10" s="373" t="str">
        <f>Instructions!B12</f>
        <v>Skills</v>
      </c>
      <c r="M10" s="382" t="str">
        <f>Instructions!B13</f>
        <v>DSAAS</v>
      </c>
      <c r="N10" s="382" t="str">
        <f>Instructions!B14</f>
        <v>RAG</v>
      </c>
      <c r="O10" s="382" t="str">
        <f>Instructions!B15</f>
        <v>Agent Framework</v>
      </c>
      <c r="P10" s="382" t="str">
        <f>Instructions!B16</f>
        <v>URIKA</v>
      </c>
      <c r="Q10" s="382" t="str">
        <f>Instructions!B17</f>
        <v>Mission Control</v>
      </c>
      <c r="R10" s="382" t="str">
        <f>Instructions!B18</f>
        <v>UKG GPT</v>
      </c>
      <c r="S10" s="382" t="str">
        <f>Instructions!B19</f>
        <v>GPTW/DEIB</v>
      </c>
      <c r="T10" s="382" t="str">
        <f>Instructions!B20</f>
        <v>Tech Platform</v>
      </c>
      <c r="U10" s="380" t="str">
        <f>Instructions!B21</f>
        <v>PGE</v>
      </c>
      <c r="V10" s="380" t="str">
        <f>Instructions!B22</f>
        <v>OneWebMFE</v>
      </c>
      <c r="W10" s="380" t="str">
        <f>Instructions!B23</f>
        <v>Bryte Assist</v>
      </c>
      <c r="X10" s="380" t="str">
        <f>Instructions!B24</f>
        <v>OneWeb Services</v>
      </c>
    </row>
    <row r="11" spans="1:24" ht="17.25" customHeight="1">
      <c r="A11" s="156"/>
      <c r="B11" s="369" t="s">
        <v>208</v>
      </c>
      <c r="C11" s="370"/>
      <c r="D11" s="167"/>
      <c r="E11" s="154"/>
      <c r="F11" s="162"/>
      <c r="G11" s="155"/>
      <c r="H11" s="372"/>
      <c r="I11" s="374"/>
      <c r="J11" s="383"/>
      <c r="K11" s="383"/>
      <c r="L11" s="374"/>
      <c r="M11" s="383"/>
      <c r="N11" s="383"/>
      <c r="O11" s="383"/>
      <c r="P11" s="383"/>
      <c r="Q11" s="383"/>
      <c r="R11" s="383"/>
      <c r="S11" s="383"/>
      <c r="T11" s="383"/>
      <c r="U11" s="381"/>
      <c r="V11" s="381"/>
      <c r="W11" s="381"/>
      <c r="X11" s="381"/>
    </row>
    <row r="12" spans="1:24" ht="16.5" customHeight="1">
      <c r="B12" s="168" t="s">
        <v>4</v>
      </c>
      <c r="C12" s="152" t="s">
        <v>6</v>
      </c>
      <c r="D12" s="384" t="s">
        <v>209</v>
      </c>
      <c r="E12" s="384"/>
      <c r="F12" s="384"/>
      <c r="G12" s="385"/>
      <c r="H12" s="386" t="s">
        <v>210</v>
      </c>
      <c r="I12" s="387"/>
      <c r="J12" s="387"/>
      <c r="K12" s="387"/>
      <c r="L12" s="387"/>
      <c r="M12" s="387"/>
      <c r="N12" s="387"/>
      <c r="O12" s="387"/>
      <c r="P12" s="387"/>
      <c r="Q12" s="387"/>
      <c r="R12" s="387"/>
      <c r="S12" s="387"/>
      <c r="T12" s="387"/>
      <c r="U12" s="387"/>
      <c r="V12" s="387"/>
      <c r="W12" s="387"/>
      <c r="X12" s="388"/>
    </row>
    <row r="13" spans="1:24" ht="16" customHeight="1">
      <c r="B13" s="227" t="s">
        <v>8</v>
      </c>
      <c r="C13" s="228" t="s">
        <v>10</v>
      </c>
      <c r="D13" s="175" t="s">
        <v>187</v>
      </c>
      <c r="E13" s="175"/>
      <c r="F13" s="175" t="s">
        <v>188</v>
      </c>
      <c r="G13" s="176" t="s">
        <v>189</v>
      </c>
      <c r="H13" s="11" t="s">
        <v>189</v>
      </c>
      <c r="I13" s="11" t="s">
        <v>189</v>
      </c>
      <c r="J13" s="11" t="s">
        <v>189</v>
      </c>
      <c r="K13" s="11" t="s">
        <v>189</v>
      </c>
      <c r="L13" s="11" t="s">
        <v>189</v>
      </c>
      <c r="M13" s="11" t="s">
        <v>189</v>
      </c>
      <c r="N13" s="11" t="s">
        <v>189</v>
      </c>
      <c r="O13" s="11" t="s">
        <v>189</v>
      </c>
      <c r="P13" s="205" t="s">
        <v>187</v>
      </c>
      <c r="Q13" s="205" t="str">
        <f>'AI (Maturity Eval)'!AW13</f>
        <v>Y</v>
      </c>
      <c r="R13" s="205" t="s">
        <v>187</v>
      </c>
      <c r="S13" s="11" t="s">
        <v>211</v>
      </c>
      <c r="T13" s="205" t="s">
        <v>187</v>
      </c>
      <c r="U13" s="11" t="s">
        <v>211</v>
      </c>
      <c r="V13" s="206" t="s">
        <v>212</v>
      </c>
      <c r="W13" s="11" t="s">
        <v>189</v>
      </c>
      <c r="X13" s="11" t="s">
        <v>211</v>
      </c>
    </row>
    <row r="14" spans="1:24" ht="16" customHeight="1">
      <c r="B14" s="229" t="s">
        <v>8</v>
      </c>
      <c r="C14" s="230" t="s">
        <v>12</v>
      </c>
      <c r="D14" s="177" t="s">
        <v>187</v>
      </c>
      <c r="E14" s="177"/>
      <c r="F14" s="177" t="s">
        <v>188</v>
      </c>
      <c r="G14" s="178" t="s">
        <v>189</v>
      </c>
      <c r="H14" s="206" t="s">
        <v>212</v>
      </c>
      <c r="I14" s="206" t="s">
        <v>212</v>
      </c>
      <c r="J14" s="206" t="s">
        <v>212</v>
      </c>
      <c r="K14" s="206" t="s">
        <v>212</v>
      </c>
      <c r="L14" s="205" t="s">
        <v>187</v>
      </c>
      <c r="M14" s="11" t="s">
        <v>189</v>
      </c>
      <c r="N14" s="206" t="s">
        <v>212</v>
      </c>
      <c r="O14" s="205" t="s">
        <v>187</v>
      </c>
      <c r="P14" s="205" t="s">
        <v>187</v>
      </c>
      <c r="Q14" s="205" t="str">
        <f>'AI (Maturity Eval)'!AW14</f>
        <v>Y</v>
      </c>
      <c r="R14" s="205" t="s">
        <v>187</v>
      </c>
      <c r="S14" s="11" t="s">
        <v>211</v>
      </c>
      <c r="T14" s="205" t="s">
        <v>187</v>
      </c>
      <c r="U14" s="11" t="s">
        <v>211</v>
      </c>
      <c r="V14" s="206" t="s">
        <v>212</v>
      </c>
      <c r="W14" s="205" t="s">
        <v>187</v>
      </c>
      <c r="X14" s="11" t="s">
        <v>211</v>
      </c>
    </row>
    <row r="15" spans="1:24" ht="16" customHeight="1">
      <c r="B15" s="229" t="s">
        <v>8</v>
      </c>
      <c r="C15" s="231" t="s">
        <v>14</v>
      </c>
      <c r="D15" s="177" t="s">
        <v>187</v>
      </c>
      <c r="E15" s="177"/>
      <c r="F15" s="177" t="s">
        <v>188</v>
      </c>
      <c r="G15" s="178" t="s">
        <v>189</v>
      </c>
      <c r="H15" s="11" t="s">
        <v>189</v>
      </c>
      <c r="I15" s="11" t="s">
        <v>189</v>
      </c>
      <c r="J15" s="11" t="s">
        <v>189</v>
      </c>
      <c r="K15" s="11" t="s">
        <v>189</v>
      </c>
      <c r="L15" s="11" t="s">
        <v>213</v>
      </c>
      <c r="M15" s="11" t="s">
        <v>189</v>
      </c>
      <c r="N15" s="11" t="s">
        <v>213</v>
      </c>
      <c r="O15" s="11" t="s">
        <v>213</v>
      </c>
      <c r="P15" s="206" t="s">
        <v>212</v>
      </c>
      <c r="Q15" s="205" t="str">
        <f>'AI (Maturity Eval)'!AW15</f>
        <v>Y</v>
      </c>
      <c r="R15" s="206" t="s">
        <v>212</v>
      </c>
      <c r="S15" s="11" t="s">
        <v>211</v>
      </c>
      <c r="T15" s="207" t="s">
        <v>188</v>
      </c>
      <c r="U15" s="11" t="s">
        <v>211</v>
      </c>
      <c r="V15" s="206" t="s">
        <v>212</v>
      </c>
      <c r="W15" s="205" t="s">
        <v>187</v>
      </c>
      <c r="X15" s="11" t="s">
        <v>211</v>
      </c>
    </row>
    <row r="16" spans="1:24" ht="16" customHeight="1">
      <c r="B16" s="229" t="s">
        <v>8</v>
      </c>
      <c r="C16" s="231" t="s">
        <v>16</v>
      </c>
      <c r="D16" s="177" t="s">
        <v>187</v>
      </c>
      <c r="E16" s="177"/>
      <c r="F16" s="177" t="s">
        <v>188</v>
      </c>
      <c r="G16" s="178" t="s">
        <v>189</v>
      </c>
      <c r="H16" s="11" t="s">
        <v>189</v>
      </c>
      <c r="I16" s="11" t="s">
        <v>189</v>
      </c>
      <c r="J16" s="11" t="s">
        <v>189</v>
      </c>
      <c r="K16" s="11" t="s">
        <v>189</v>
      </c>
      <c r="L16" s="11" t="s">
        <v>213</v>
      </c>
      <c r="M16" s="11" t="s">
        <v>189</v>
      </c>
      <c r="N16" s="11" t="s">
        <v>189</v>
      </c>
      <c r="O16" s="11" t="s">
        <v>189</v>
      </c>
      <c r="P16" s="206" t="s">
        <v>212</v>
      </c>
      <c r="Q16" s="205" t="str">
        <f>'AI (Maturity Eval)'!AW16</f>
        <v>Y</v>
      </c>
      <c r="R16" s="206" t="s">
        <v>212</v>
      </c>
      <c r="S16" s="11" t="s">
        <v>211</v>
      </c>
      <c r="T16" s="207" t="s">
        <v>188</v>
      </c>
      <c r="U16" s="11" t="s">
        <v>211</v>
      </c>
      <c r="V16" s="206" t="s">
        <v>212</v>
      </c>
      <c r="W16" s="11" t="s">
        <v>189</v>
      </c>
      <c r="X16" s="206" t="s">
        <v>212</v>
      </c>
    </row>
    <row r="17" spans="2:24" ht="16" customHeight="1">
      <c r="B17" s="229" t="s">
        <v>8</v>
      </c>
      <c r="C17" s="232" t="s">
        <v>18</v>
      </c>
      <c r="D17" s="177" t="s">
        <v>187</v>
      </c>
      <c r="E17" s="177"/>
      <c r="F17" s="177" t="s">
        <v>188</v>
      </c>
      <c r="G17" s="178" t="s">
        <v>189</v>
      </c>
      <c r="H17" s="11" t="s">
        <v>189</v>
      </c>
      <c r="I17" s="11" t="s">
        <v>189</v>
      </c>
      <c r="J17" s="11" t="s">
        <v>189</v>
      </c>
      <c r="K17" s="11" t="s">
        <v>189</v>
      </c>
      <c r="L17" s="11" t="s">
        <v>213</v>
      </c>
      <c r="M17" s="11" t="s">
        <v>189</v>
      </c>
      <c r="N17" s="11" t="s">
        <v>213</v>
      </c>
      <c r="O17" s="11" t="s">
        <v>213</v>
      </c>
      <c r="P17" s="205" t="s">
        <v>187</v>
      </c>
      <c r="Q17" s="205" t="str">
        <f>'AI (Maturity Eval)'!AW17</f>
        <v>Y</v>
      </c>
      <c r="R17" s="205" t="s">
        <v>187</v>
      </c>
      <c r="S17" s="11" t="s">
        <v>211</v>
      </c>
      <c r="T17" s="205" t="s">
        <v>187</v>
      </c>
      <c r="U17" s="11" t="s">
        <v>211</v>
      </c>
      <c r="V17" s="206" t="s">
        <v>212</v>
      </c>
      <c r="W17" s="11" t="s">
        <v>189</v>
      </c>
      <c r="X17" s="11" t="s">
        <v>189</v>
      </c>
    </row>
    <row r="18" spans="2:24" ht="16" customHeight="1">
      <c r="B18" s="229" t="s">
        <v>8</v>
      </c>
      <c r="C18" s="231" t="s">
        <v>20</v>
      </c>
      <c r="D18" s="177" t="s">
        <v>187</v>
      </c>
      <c r="E18" s="177"/>
      <c r="F18" s="177" t="s">
        <v>188</v>
      </c>
      <c r="G18" s="178" t="s">
        <v>189</v>
      </c>
      <c r="H18" s="12" t="s">
        <v>189</v>
      </c>
      <c r="I18" s="12" t="s">
        <v>189</v>
      </c>
      <c r="J18" s="12" t="s">
        <v>189</v>
      </c>
      <c r="K18" s="12" t="s">
        <v>189</v>
      </c>
      <c r="L18" s="12" t="s">
        <v>213</v>
      </c>
      <c r="M18" s="12" t="s">
        <v>189</v>
      </c>
      <c r="N18" s="12" t="s">
        <v>213</v>
      </c>
      <c r="O18" s="12" t="s">
        <v>213</v>
      </c>
      <c r="P18" s="220" t="s">
        <v>187</v>
      </c>
      <c r="Q18" s="205" t="str">
        <f>'AI (Maturity Eval)'!AW18</f>
        <v>Y</v>
      </c>
      <c r="R18" s="220" t="s">
        <v>187</v>
      </c>
      <c r="S18" s="12" t="s">
        <v>211</v>
      </c>
      <c r="T18" s="220" t="s">
        <v>187</v>
      </c>
      <c r="U18" s="12" t="s">
        <v>211</v>
      </c>
      <c r="V18" s="314" t="s">
        <v>212</v>
      </c>
      <c r="W18" s="12" t="s">
        <v>189</v>
      </c>
      <c r="X18" s="220" t="s">
        <v>187</v>
      </c>
    </row>
    <row r="19" spans="2:24" ht="16" customHeight="1">
      <c r="B19" s="233" t="s">
        <v>22</v>
      </c>
      <c r="C19" s="234" t="s">
        <v>24</v>
      </c>
      <c r="D19" s="177" t="s">
        <v>187</v>
      </c>
      <c r="E19" s="177"/>
      <c r="F19" s="177" t="s">
        <v>188</v>
      </c>
      <c r="G19" s="178" t="s">
        <v>189</v>
      </c>
      <c r="H19" s="205" t="s">
        <v>187</v>
      </c>
      <c r="I19" s="205" t="s">
        <v>187</v>
      </c>
      <c r="J19" s="205" t="s">
        <v>187</v>
      </c>
      <c r="K19" s="205" t="s">
        <v>187</v>
      </c>
      <c r="L19" s="205" t="s">
        <v>187</v>
      </c>
      <c r="M19" s="205" t="s">
        <v>187</v>
      </c>
      <c r="N19" s="205" t="s">
        <v>187</v>
      </c>
      <c r="O19" s="205" t="s">
        <v>187</v>
      </c>
      <c r="P19" s="205" t="s">
        <v>187</v>
      </c>
      <c r="Q19" s="205" t="str">
        <f>'AI (Maturity Eval)'!AW19</f>
        <v>N/A</v>
      </c>
      <c r="R19" s="205" t="s">
        <v>187</v>
      </c>
      <c r="S19" s="205" t="s">
        <v>187</v>
      </c>
      <c r="T19" s="205" t="s">
        <v>187</v>
      </c>
      <c r="U19" s="11" t="s">
        <v>211</v>
      </c>
      <c r="V19" s="206" t="s">
        <v>212</v>
      </c>
      <c r="W19" s="206" t="s">
        <v>212</v>
      </c>
      <c r="X19" s="11" t="s">
        <v>214</v>
      </c>
    </row>
    <row r="20" spans="2:24" ht="16" customHeight="1">
      <c r="B20" s="233" t="s">
        <v>22</v>
      </c>
      <c r="C20" s="234" t="s">
        <v>26</v>
      </c>
      <c r="D20" s="177" t="s">
        <v>187</v>
      </c>
      <c r="E20" s="177"/>
      <c r="F20" s="177" t="s">
        <v>188</v>
      </c>
      <c r="G20" s="178" t="s">
        <v>189</v>
      </c>
      <c r="H20" s="205" t="s">
        <v>187</v>
      </c>
      <c r="I20" s="205" t="s">
        <v>187</v>
      </c>
      <c r="J20" s="205" t="s">
        <v>187</v>
      </c>
      <c r="K20" s="205" t="s">
        <v>187</v>
      </c>
      <c r="L20" s="205" t="s">
        <v>187</v>
      </c>
      <c r="M20" s="205" t="s">
        <v>187</v>
      </c>
      <c r="N20" s="205" t="s">
        <v>187</v>
      </c>
      <c r="O20" s="205" t="s">
        <v>187</v>
      </c>
      <c r="P20" s="205" t="s">
        <v>187</v>
      </c>
      <c r="Q20" s="205" t="str">
        <f>'AI (Maturity Eval)'!AW20</f>
        <v>N/A</v>
      </c>
      <c r="R20" s="205" t="s">
        <v>187</v>
      </c>
      <c r="S20" s="205" t="s">
        <v>187</v>
      </c>
      <c r="T20" s="205" t="s">
        <v>187</v>
      </c>
      <c r="U20" s="11" t="s">
        <v>211</v>
      </c>
      <c r="V20" s="206" t="s">
        <v>212</v>
      </c>
      <c r="W20" s="206" t="s">
        <v>212</v>
      </c>
      <c r="X20" s="206" t="s">
        <v>212</v>
      </c>
    </row>
    <row r="21" spans="2:24" ht="16" customHeight="1">
      <c r="B21" s="233" t="s">
        <v>22</v>
      </c>
      <c r="C21" s="234" t="s">
        <v>28</v>
      </c>
      <c r="D21" s="177" t="s">
        <v>187</v>
      </c>
      <c r="E21" s="177"/>
      <c r="F21" s="177" t="s">
        <v>188</v>
      </c>
      <c r="G21" s="178" t="s">
        <v>189</v>
      </c>
      <c r="H21" s="205" t="s">
        <v>187</v>
      </c>
      <c r="I21" s="205" t="s">
        <v>187</v>
      </c>
      <c r="J21" s="205" t="s">
        <v>187</v>
      </c>
      <c r="K21" s="205" t="s">
        <v>187</v>
      </c>
      <c r="L21" s="205" t="s">
        <v>187</v>
      </c>
      <c r="M21" s="205" t="s">
        <v>187</v>
      </c>
      <c r="N21" s="206" t="s">
        <v>212</v>
      </c>
      <c r="O21" s="206" t="s">
        <v>212</v>
      </c>
      <c r="P21" s="205" t="s">
        <v>187</v>
      </c>
      <c r="Q21" s="205" t="str">
        <f>'AI (Maturity Eval)'!AW21</f>
        <v>N/A</v>
      </c>
      <c r="R21" s="205" t="s">
        <v>187</v>
      </c>
      <c r="S21" s="205" t="s">
        <v>187</v>
      </c>
      <c r="T21" s="205" t="s">
        <v>187</v>
      </c>
      <c r="U21" s="11" t="s">
        <v>211</v>
      </c>
      <c r="V21" s="206" t="s">
        <v>212</v>
      </c>
      <c r="W21" s="206" t="s">
        <v>212</v>
      </c>
      <c r="X21" s="206" t="s">
        <v>212</v>
      </c>
    </row>
    <row r="22" spans="2:24" ht="16" customHeight="1">
      <c r="B22" s="233" t="s">
        <v>22</v>
      </c>
      <c r="C22" s="234" t="s">
        <v>30</v>
      </c>
      <c r="D22" s="177" t="s">
        <v>187</v>
      </c>
      <c r="E22" s="177"/>
      <c r="F22" s="177" t="s">
        <v>188</v>
      </c>
      <c r="G22" s="178" t="s">
        <v>189</v>
      </c>
      <c r="H22" s="207" t="s">
        <v>188</v>
      </c>
      <c r="I22" s="205" t="s">
        <v>187</v>
      </c>
      <c r="J22" s="205" t="s">
        <v>187</v>
      </c>
      <c r="K22" s="205" t="s">
        <v>187</v>
      </c>
      <c r="L22" s="205" t="s">
        <v>187</v>
      </c>
      <c r="M22" s="11" t="s">
        <v>189</v>
      </c>
      <c r="N22" s="206" t="s">
        <v>212</v>
      </c>
      <c r="O22" s="206" t="s">
        <v>212</v>
      </c>
      <c r="P22" s="205" t="s">
        <v>187</v>
      </c>
      <c r="Q22" s="205" t="str">
        <f>'AI (Maturity Eval)'!AW22</f>
        <v>N/A</v>
      </c>
      <c r="R22" s="205" t="s">
        <v>187</v>
      </c>
      <c r="S22" s="205" t="s">
        <v>187</v>
      </c>
      <c r="T22" s="205" t="s">
        <v>187</v>
      </c>
      <c r="U22" s="11" t="s">
        <v>211</v>
      </c>
      <c r="V22" s="206" t="s">
        <v>212</v>
      </c>
      <c r="W22" s="206" t="s">
        <v>212</v>
      </c>
      <c r="X22" s="206" t="s">
        <v>212</v>
      </c>
    </row>
    <row r="23" spans="2:24" ht="16" customHeight="1">
      <c r="B23" s="233" t="s">
        <v>22</v>
      </c>
      <c r="C23" s="235" t="s">
        <v>32</v>
      </c>
      <c r="D23" s="177" t="s">
        <v>187</v>
      </c>
      <c r="E23" s="177"/>
      <c r="F23" s="177" t="s">
        <v>188</v>
      </c>
      <c r="G23" s="178" t="s">
        <v>189</v>
      </c>
      <c r="H23" s="207" t="s">
        <v>188</v>
      </c>
      <c r="I23" s="207" t="s">
        <v>188</v>
      </c>
      <c r="J23" s="207" t="s">
        <v>188</v>
      </c>
      <c r="K23" s="207" t="s">
        <v>188</v>
      </c>
      <c r="L23" s="205" t="s">
        <v>187</v>
      </c>
      <c r="M23" s="205" t="s">
        <v>187</v>
      </c>
      <c r="N23" s="205" t="s">
        <v>187</v>
      </c>
      <c r="O23" s="205" t="s">
        <v>187</v>
      </c>
      <c r="P23" s="205" t="s">
        <v>187</v>
      </c>
      <c r="Q23" s="205" t="str">
        <f>'AI (Maturity Eval)'!AW23</f>
        <v>N/A</v>
      </c>
      <c r="R23" s="205" t="s">
        <v>187</v>
      </c>
      <c r="S23" s="11" t="s">
        <v>211</v>
      </c>
      <c r="T23" s="205" t="s">
        <v>187</v>
      </c>
      <c r="U23" s="11" t="s">
        <v>211</v>
      </c>
      <c r="V23" s="206" t="s">
        <v>212</v>
      </c>
      <c r="W23" s="206" t="s">
        <v>212</v>
      </c>
      <c r="X23" s="206" t="s">
        <v>212</v>
      </c>
    </row>
    <row r="24" spans="2:24" ht="16" customHeight="1">
      <c r="B24" s="229" t="s">
        <v>22</v>
      </c>
      <c r="C24" s="236" t="s">
        <v>34</v>
      </c>
      <c r="D24" s="177" t="s">
        <v>187</v>
      </c>
      <c r="E24" s="177"/>
      <c r="F24" s="177" t="s">
        <v>188</v>
      </c>
      <c r="G24" s="178" t="s">
        <v>189</v>
      </c>
      <c r="H24" s="207" t="s">
        <v>188</v>
      </c>
      <c r="I24" s="207" t="s">
        <v>188</v>
      </c>
      <c r="J24" s="207" t="s">
        <v>188</v>
      </c>
      <c r="K24" s="207" t="s">
        <v>188</v>
      </c>
      <c r="L24" s="205" t="s">
        <v>187</v>
      </c>
      <c r="M24" s="11" t="s">
        <v>189</v>
      </c>
      <c r="N24" s="206" t="s">
        <v>212</v>
      </c>
      <c r="O24" s="206" t="s">
        <v>212</v>
      </c>
      <c r="P24" s="205" t="s">
        <v>187</v>
      </c>
      <c r="Q24" s="205" t="str">
        <f>'AI (Maturity Eval)'!AW24</f>
        <v>N/A</v>
      </c>
      <c r="R24" s="205" t="s">
        <v>187</v>
      </c>
      <c r="S24" s="11" t="s">
        <v>211</v>
      </c>
      <c r="T24" s="205" t="s">
        <v>187</v>
      </c>
      <c r="U24" s="11" t="s">
        <v>211</v>
      </c>
      <c r="V24" s="206" t="s">
        <v>212</v>
      </c>
      <c r="W24" s="206" t="s">
        <v>212</v>
      </c>
      <c r="X24" s="206" t="s">
        <v>212</v>
      </c>
    </row>
    <row r="25" spans="2:24" ht="16" customHeight="1">
      <c r="B25" s="229" t="s">
        <v>22</v>
      </c>
      <c r="C25" s="230" t="s">
        <v>36</v>
      </c>
      <c r="D25" s="177" t="s">
        <v>187</v>
      </c>
      <c r="E25" s="177"/>
      <c r="F25" s="177" t="s">
        <v>188</v>
      </c>
      <c r="G25" s="178" t="s">
        <v>189</v>
      </c>
      <c r="H25" s="207" t="s">
        <v>188</v>
      </c>
      <c r="I25" s="207" t="s">
        <v>188</v>
      </c>
      <c r="J25" s="207" t="s">
        <v>188</v>
      </c>
      <c r="K25" s="207" t="s">
        <v>188</v>
      </c>
      <c r="L25" s="205" t="s">
        <v>187</v>
      </c>
      <c r="M25" s="11" t="s">
        <v>189</v>
      </c>
      <c r="N25" s="206" t="s">
        <v>212</v>
      </c>
      <c r="O25" s="206" t="s">
        <v>212</v>
      </c>
      <c r="P25" s="205" t="s">
        <v>187</v>
      </c>
      <c r="Q25" s="205" t="str">
        <f>'AI (Maturity Eval)'!AW25</f>
        <v>N/A</v>
      </c>
      <c r="R25" s="205" t="s">
        <v>187</v>
      </c>
      <c r="S25" s="11" t="s">
        <v>211</v>
      </c>
      <c r="T25" s="205" t="s">
        <v>187</v>
      </c>
      <c r="U25" s="11" t="s">
        <v>211</v>
      </c>
      <c r="V25" s="206" t="s">
        <v>212</v>
      </c>
      <c r="W25" s="206" t="s">
        <v>212</v>
      </c>
      <c r="X25" s="206" t="s">
        <v>212</v>
      </c>
    </row>
    <row r="26" spans="2:24" ht="16" customHeight="1">
      <c r="B26" s="229" t="s">
        <v>38</v>
      </c>
      <c r="C26" s="230" t="s">
        <v>40</v>
      </c>
      <c r="D26" s="177" t="s">
        <v>187</v>
      </c>
      <c r="E26" s="177"/>
      <c r="F26" s="177" t="s">
        <v>188</v>
      </c>
      <c r="G26" s="178" t="s">
        <v>189</v>
      </c>
      <c r="H26" s="207" t="s">
        <v>188</v>
      </c>
      <c r="I26" s="207" t="s">
        <v>188</v>
      </c>
      <c r="J26" s="207" t="s">
        <v>188</v>
      </c>
      <c r="K26" s="207" t="s">
        <v>188</v>
      </c>
      <c r="L26" s="205" t="s">
        <v>187</v>
      </c>
      <c r="M26" s="11" t="s">
        <v>189</v>
      </c>
      <c r="N26" s="206" t="s">
        <v>212</v>
      </c>
      <c r="O26" s="206" t="s">
        <v>212</v>
      </c>
      <c r="P26" s="205" t="s">
        <v>187</v>
      </c>
      <c r="Q26" s="205" t="str">
        <f>'AI (Maturity Eval)'!AW26</f>
        <v>Y</v>
      </c>
      <c r="R26" s="205" t="s">
        <v>187</v>
      </c>
      <c r="S26" s="11" t="s">
        <v>211</v>
      </c>
      <c r="T26" s="205" t="s">
        <v>187</v>
      </c>
      <c r="U26" s="11" t="s">
        <v>211</v>
      </c>
      <c r="V26" s="206" t="s">
        <v>212</v>
      </c>
      <c r="W26" s="205" t="s">
        <v>187</v>
      </c>
      <c r="X26" s="205" t="s">
        <v>187</v>
      </c>
    </row>
    <row r="27" spans="2:24" ht="16" customHeight="1">
      <c r="B27" s="229" t="s">
        <v>38</v>
      </c>
      <c r="C27" s="230" t="s">
        <v>42</v>
      </c>
      <c r="D27" s="177" t="s">
        <v>187</v>
      </c>
      <c r="E27" s="177"/>
      <c r="F27" s="177" t="s">
        <v>188</v>
      </c>
      <c r="G27" s="178" t="s">
        <v>189</v>
      </c>
      <c r="H27" s="207" t="s">
        <v>188</v>
      </c>
      <c r="I27" s="207" t="s">
        <v>188</v>
      </c>
      <c r="J27" s="207" t="s">
        <v>188</v>
      </c>
      <c r="K27" s="207" t="s">
        <v>188</v>
      </c>
      <c r="L27" s="205" t="s">
        <v>187</v>
      </c>
      <c r="M27" s="11" t="s">
        <v>189</v>
      </c>
      <c r="N27" s="206" t="s">
        <v>212</v>
      </c>
      <c r="O27" s="206" t="s">
        <v>212</v>
      </c>
      <c r="P27" s="205" t="s">
        <v>187</v>
      </c>
      <c r="Q27" s="205" t="str">
        <f>'AI (Maturity Eval)'!AW27</f>
        <v>Y</v>
      </c>
      <c r="R27" s="205" t="s">
        <v>187</v>
      </c>
      <c r="S27" s="11" t="s">
        <v>211</v>
      </c>
      <c r="T27" s="205" t="s">
        <v>187</v>
      </c>
      <c r="U27" s="11" t="s">
        <v>211</v>
      </c>
      <c r="V27" s="206" t="s">
        <v>212</v>
      </c>
      <c r="W27" s="205" t="s">
        <v>187</v>
      </c>
      <c r="X27" s="205" t="s">
        <v>187</v>
      </c>
    </row>
    <row r="28" spans="2:24" ht="16" customHeight="1">
      <c r="B28" s="229" t="s">
        <v>38</v>
      </c>
      <c r="C28" s="230" t="s">
        <v>44</v>
      </c>
      <c r="D28" s="177" t="s">
        <v>187</v>
      </c>
      <c r="E28" s="177"/>
      <c r="F28" s="177" t="s">
        <v>188</v>
      </c>
      <c r="G28" s="178" t="s">
        <v>189</v>
      </c>
      <c r="H28" s="207" t="s">
        <v>188</v>
      </c>
      <c r="I28" s="207" t="s">
        <v>188</v>
      </c>
      <c r="J28" s="207" t="s">
        <v>188</v>
      </c>
      <c r="K28" s="207" t="s">
        <v>188</v>
      </c>
      <c r="L28" s="205" t="s">
        <v>187</v>
      </c>
      <c r="M28" s="11" t="s">
        <v>189</v>
      </c>
      <c r="N28" s="205" t="s">
        <v>187</v>
      </c>
      <c r="O28" s="205" t="s">
        <v>187</v>
      </c>
      <c r="P28" s="205" t="s">
        <v>187</v>
      </c>
      <c r="Q28" s="205" t="str">
        <f>'AI (Maturity Eval)'!AW28</f>
        <v>Y</v>
      </c>
      <c r="R28" s="205" t="s">
        <v>187</v>
      </c>
      <c r="S28" s="11" t="s">
        <v>211</v>
      </c>
      <c r="T28" s="205" t="s">
        <v>187</v>
      </c>
      <c r="U28" s="11" t="s">
        <v>211</v>
      </c>
      <c r="V28" s="206" t="s">
        <v>212</v>
      </c>
      <c r="W28" s="11" t="s">
        <v>189</v>
      </c>
      <c r="X28" s="11" t="s">
        <v>189</v>
      </c>
    </row>
    <row r="29" spans="2:24" ht="16" customHeight="1">
      <c r="B29" s="229" t="s">
        <v>38</v>
      </c>
      <c r="C29" s="230" t="s">
        <v>46</v>
      </c>
      <c r="D29" s="177" t="s">
        <v>187</v>
      </c>
      <c r="E29" s="177"/>
      <c r="F29" s="177" t="s">
        <v>188</v>
      </c>
      <c r="G29" s="178" t="s">
        <v>189</v>
      </c>
      <c r="H29" s="207" t="s">
        <v>188</v>
      </c>
      <c r="I29" s="207" t="s">
        <v>188</v>
      </c>
      <c r="J29" s="207" t="s">
        <v>188</v>
      </c>
      <c r="K29" s="207" t="s">
        <v>188</v>
      </c>
      <c r="L29" s="205" t="s">
        <v>187</v>
      </c>
      <c r="M29" s="11" t="s">
        <v>189</v>
      </c>
      <c r="N29" s="206" t="s">
        <v>212</v>
      </c>
      <c r="O29" s="206" t="s">
        <v>212</v>
      </c>
      <c r="P29" s="205" t="s">
        <v>187</v>
      </c>
      <c r="Q29" s="205" t="str">
        <f>'AI (Maturity Eval)'!AW29</f>
        <v>Y</v>
      </c>
      <c r="R29" s="205" t="s">
        <v>187</v>
      </c>
      <c r="S29" s="11" t="s">
        <v>211</v>
      </c>
      <c r="T29" s="205" t="s">
        <v>187</v>
      </c>
      <c r="U29" s="11" t="s">
        <v>211</v>
      </c>
      <c r="V29" s="206" t="s">
        <v>212</v>
      </c>
      <c r="W29" s="205" t="s">
        <v>187</v>
      </c>
      <c r="X29" s="205" t="s">
        <v>187</v>
      </c>
    </row>
    <row r="30" spans="2:24" ht="16" customHeight="1">
      <c r="B30" s="229" t="s">
        <v>38</v>
      </c>
      <c r="C30" s="230" t="s">
        <v>48</v>
      </c>
      <c r="D30" s="177" t="s">
        <v>187</v>
      </c>
      <c r="E30" s="177"/>
      <c r="F30" s="177" t="s">
        <v>188</v>
      </c>
      <c r="G30" s="178" t="s">
        <v>189</v>
      </c>
      <c r="H30" s="207" t="s">
        <v>188</v>
      </c>
      <c r="I30" s="207" t="s">
        <v>188</v>
      </c>
      <c r="J30" s="207" t="s">
        <v>188</v>
      </c>
      <c r="K30" s="207" t="s">
        <v>188</v>
      </c>
      <c r="L30" s="205" t="s">
        <v>187</v>
      </c>
      <c r="M30" s="11" t="s">
        <v>189</v>
      </c>
      <c r="N30" s="206" t="s">
        <v>212</v>
      </c>
      <c r="O30" s="206" t="s">
        <v>212</v>
      </c>
      <c r="P30" s="205" t="s">
        <v>187</v>
      </c>
      <c r="Q30" s="205" t="str">
        <f>'AI (Maturity Eval)'!AW30</f>
        <v>Y</v>
      </c>
      <c r="R30" s="205" t="s">
        <v>187</v>
      </c>
      <c r="S30" s="11" t="s">
        <v>211</v>
      </c>
      <c r="T30" s="207" t="s">
        <v>188</v>
      </c>
      <c r="U30" s="11" t="s">
        <v>211</v>
      </c>
      <c r="V30" s="206" t="s">
        <v>212</v>
      </c>
      <c r="W30" s="205" t="s">
        <v>187</v>
      </c>
      <c r="X30" s="11" t="s">
        <v>189</v>
      </c>
    </row>
    <row r="31" spans="2:24" ht="16" customHeight="1">
      <c r="B31" s="229" t="s">
        <v>38</v>
      </c>
      <c r="C31" s="230" t="s">
        <v>50</v>
      </c>
      <c r="D31" s="177" t="s">
        <v>187</v>
      </c>
      <c r="E31" s="177"/>
      <c r="F31" s="177" t="s">
        <v>188</v>
      </c>
      <c r="G31" s="178" t="s">
        <v>189</v>
      </c>
      <c r="H31" s="207" t="s">
        <v>188</v>
      </c>
      <c r="I31" s="207" t="s">
        <v>188</v>
      </c>
      <c r="J31" s="207" t="s">
        <v>188</v>
      </c>
      <c r="K31" s="207" t="s">
        <v>188</v>
      </c>
      <c r="L31" s="205" t="s">
        <v>187</v>
      </c>
      <c r="M31" s="11" t="s">
        <v>189</v>
      </c>
      <c r="N31" s="11" t="s">
        <v>189</v>
      </c>
      <c r="O31" s="11" t="s">
        <v>189</v>
      </c>
      <c r="P31" s="205" t="s">
        <v>187</v>
      </c>
      <c r="Q31" s="205" t="str">
        <f>'AI (Maturity Eval)'!AW31</f>
        <v>Y</v>
      </c>
      <c r="R31" s="205" t="s">
        <v>187</v>
      </c>
      <c r="S31" s="11" t="s">
        <v>211</v>
      </c>
      <c r="T31" s="207" t="s">
        <v>188</v>
      </c>
      <c r="U31" s="11" t="s">
        <v>211</v>
      </c>
      <c r="V31" s="206" t="s">
        <v>212</v>
      </c>
      <c r="W31" s="205" t="s">
        <v>187</v>
      </c>
      <c r="X31" s="11" t="s">
        <v>189</v>
      </c>
    </row>
    <row r="32" spans="2:24" ht="16" customHeight="1">
      <c r="B32" s="229" t="s">
        <v>38</v>
      </c>
      <c r="C32" s="230" t="s">
        <v>52</v>
      </c>
      <c r="D32" s="177" t="s">
        <v>187</v>
      </c>
      <c r="E32" s="177"/>
      <c r="F32" s="177" t="s">
        <v>188</v>
      </c>
      <c r="G32" s="178" t="s">
        <v>189</v>
      </c>
      <c r="H32" s="207" t="s">
        <v>188</v>
      </c>
      <c r="I32" s="207" t="s">
        <v>188</v>
      </c>
      <c r="J32" s="207" t="s">
        <v>188</v>
      </c>
      <c r="K32" s="207" t="s">
        <v>188</v>
      </c>
      <c r="L32" s="205" t="s">
        <v>187</v>
      </c>
      <c r="M32" s="11" t="s">
        <v>189</v>
      </c>
      <c r="N32" s="11" t="s">
        <v>189</v>
      </c>
      <c r="O32" s="11" t="s">
        <v>189</v>
      </c>
      <c r="P32" s="205" t="s">
        <v>187</v>
      </c>
      <c r="Q32" s="205" t="str">
        <f>'AI (Maturity Eval)'!AW32</f>
        <v>Y</v>
      </c>
      <c r="R32" s="205" t="s">
        <v>187</v>
      </c>
      <c r="S32" s="11" t="s">
        <v>211</v>
      </c>
      <c r="T32" s="207" t="s">
        <v>188</v>
      </c>
      <c r="U32" s="11" t="s">
        <v>211</v>
      </c>
      <c r="V32" s="206" t="s">
        <v>212</v>
      </c>
      <c r="W32" s="205" t="s">
        <v>187</v>
      </c>
      <c r="X32" s="11" t="s">
        <v>189</v>
      </c>
    </row>
    <row r="33" spans="2:24" ht="16" customHeight="1">
      <c r="B33" s="35" t="s">
        <v>54</v>
      </c>
      <c r="C33" s="42" t="s">
        <v>56</v>
      </c>
      <c r="D33" s="177" t="s">
        <v>187</v>
      </c>
      <c r="E33" s="177"/>
      <c r="F33" s="177" t="s">
        <v>188</v>
      </c>
      <c r="G33" s="178" t="s">
        <v>189</v>
      </c>
      <c r="H33" s="207" t="s">
        <v>188</v>
      </c>
      <c r="I33" s="207" t="s">
        <v>188</v>
      </c>
      <c r="J33" s="207" t="s">
        <v>188</v>
      </c>
      <c r="K33" s="207" t="s">
        <v>188</v>
      </c>
      <c r="L33" s="205" t="s">
        <v>187</v>
      </c>
      <c r="M33" s="205" t="s">
        <v>187</v>
      </c>
      <c r="N33" s="205" t="s">
        <v>187</v>
      </c>
      <c r="O33" s="205" t="s">
        <v>187</v>
      </c>
      <c r="P33" s="205" t="s">
        <v>187</v>
      </c>
      <c r="Q33" s="205" t="str">
        <f>'AI (Maturity Eval)'!AW33</f>
        <v>Y</v>
      </c>
      <c r="R33" s="205" t="s">
        <v>187</v>
      </c>
      <c r="S33" s="205" t="s">
        <v>187</v>
      </c>
      <c r="T33" s="205" t="s">
        <v>187</v>
      </c>
      <c r="U33" s="11" t="s">
        <v>211</v>
      </c>
      <c r="V33" s="206" t="s">
        <v>212</v>
      </c>
      <c r="W33" s="205" t="s">
        <v>187</v>
      </c>
      <c r="X33" s="205" t="s">
        <v>187</v>
      </c>
    </row>
    <row r="34" spans="2:24" ht="16" customHeight="1">
      <c r="B34" s="35" t="s">
        <v>54</v>
      </c>
      <c r="C34" s="42" t="s">
        <v>58</v>
      </c>
      <c r="D34" s="177" t="s">
        <v>187</v>
      </c>
      <c r="E34" s="177"/>
      <c r="F34" s="177" t="s">
        <v>188</v>
      </c>
      <c r="G34" s="178" t="s">
        <v>189</v>
      </c>
      <c r="H34" s="207" t="s">
        <v>188</v>
      </c>
      <c r="I34" s="207" t="s">
        <v>188</v>
      </c>
      <c r="J34" s="207" t="s">
        <v>188</v>
      </c>
      <c r="K34" s="207" t="s">
        <v>188</v>
      </c>
      <c r="L34" s="205" t="s">
        <v>187</v>
      </c>
      <c r="M34" s="205" t="s">
        <v>187</v>
      </c>
      <c r="N34" s="205" t="s">
        <v>187</v>
      </c>
      <c r="O34" s="205" t="s">
        <v>187</v>
      </c>
      <c r="P34" s="205" t="s">
        <v>187</v>
      </c>
      <c r="Q34" s="205" t="str">
        <f>'AI (Maturity Eval)'!AW34</f>
        <v>Y</v>
      </c>
      <c r="R34" s="205" t="s">
        <v>187</v>
      </c>
      <c r="S34" s="205" t="s">
        <v>187</v>
      </c>
      <c r="T34" s="205" t="s">
        <v>187</v>
      </c>
      <c r="U34" s="11" t="s">
        <v>211</v>
      </c>
      <c r="V34" s="206" t="s">
        <v>212</v>
      </c>
      <c r="W34" s="205" t="s">
        <v>187</v>
      </c>
      <c r="X34" s="205" t="s">
        <v>187</v>
      </c>
    </row>
    <row r="35" spans="2:24" ht="16" customHeight="1">
      <c r="B35" s="35" t="s">
        <v>54</v>
      </c>
      <c r="C35" s="42" t="s">
        <v>60</v>
      </c>
      <c r="D35" s="177" t="s">
        <v>187</v>
      </c>
      <c r="E35" s="177"/>
      <c r="F35" s="177" t="s">
        <v>188</v>
      </c>
      <c r="G35" s="178" t="s">
        <v>189</v>
      </c>
      <c r="H35" s="207" t="s">
        <v>188</v>
      </c>
      <c r="I35" s="11" t="s">
        <v>189</v>
      </c>
      <c r="J35" s="11" t="s">
        <v>189</v>
      </c>
      <c r="K35" s="11" t="s">
        <v>189</v>
      </c>
      <c r="L35" s="205" t="s">
        <v>187</v>
      </c>
      <c r="M35" s="205" t="s">
        <v>187</v>
      </c>
      <c r="N35" s="205" t="s">
        <v>187</v>
      </c>
      <c r="O35" s="205" t="s">
        <v>187</v>
      </c>
      <c r="P35" s="11" t="s">
        <v>189</v>
      </c>
      <c r="Q35" s="205" t="str">
        <f>'AI (Maturity Eval)'!AW35</f>
        <v>Y</v>
      </c>
      <c r="R35" s="205" t="s">
        <v>187</v>
      </c>
      <c r="S35" s="11" t="s">
        <v>211</v>
      </c>
      <c r="T35" s="205" t="s">
        <v>187</v>
      </c>
      <c r="U35" s="11" t="s">
        <v>211</v>
      </c>
      <c r="V35" s="206" t="s">
        <v>212</v>
      </c>
      <c r="W35" s="205" t="s">
        <v>187</v>
      </c>
      <c r="X35" s="205" t="s">
        <v>187</v>
      </c>
    </row>
    <row r="36" spans="2:24" ht="16" customHeight="1">
      <c r="B36" s="35" t="s">
        <v>54</v>
      </c>
      <c r="C36" s="50" t="s">
        <v>62</v>
      </c>
      <c r="D36" s="177" t="s">
        <v>187</v>
      </c>
      <c r="E36" s="177"/>
      <c r="F36" s="177" t="s">
        <v>188</v>
      </c>
      <c r="G36" s="178" t="s">
        <v>189</v>
      </c>
      <c r="H36" s="207" t="s">
        <v>188</v>
      </c>
      <c r="I36" s="207" t="s">
        <v>188</v>
      </c>
      <c r="J36" s="207" t="s">
        <v>188</v>
      </c>
      <c r="K36" s="207" t="s">
        <v>188</v>
      </c>
      <c r="L36" s="205" t="s">
        <v>187</v>
      </c>
      <c r="M36" s="205" t="s">
        <v>187</v>
      </c>
      <c r="N36" s="11" t="s">
        <v>189</v>
      </c>
      <c r="O36" s="11" t="s">
        <v>189</v>
      </c>
      <c r="P36" s="11" t="s">
        <v>189</v>
      </c>
      <c r="Q36" s="205" t="str">
        <f>'AI (Maturity Eval)'!AW36</f>
        <v>Y</v>
      </c>
      <c r="R36" s="11" t="s">
        <v>189</v>
      </c>
      <c r="S36" s="11" t="s">
        <v>211</v>
      </c>
      <c r="T36" s="207" t="s">
        <v>188</v>
      </c>
      <c r="U36" s="11" t="s">
        <v>211</v>
      </c>
      <c r="V36" s="206" t="s">
        <v>212</v>
      </c>
      <c r="W36" s="205" t="s">
        <v>187</v>
      </c>
      <c r="X36" s="205" t="s">
        <v>187</v>
      </c>
    </row>
    <row r="37" spans="2:24" ht="16" customHeight="1">
      <c r="B37" s="35" t="s">
        <v>54</v>
      </c>
      <c r="C37" s="42" t="s">
        <v>64</v>
      </c>
      <c r="D37" s="177" t="s">
        <v>187</v>
      </c>
      <c r="E37" s="177"/>
      <c r="F37" s="177" t="s">
        <v>188</v>
      </c>
      <c r="G37" s="178" t="s">
        <v>189</v>
      </c>
      <c r="H37" s="207" t="s">
        <v>188</v>
      </c>
      <c r="I37" s="207" t="s">
        <v>188</v>
      </c>
      <c r="J37" s="207" t="s">
        <v>188</v>
      </c>
      <c r="K37" s="207" t="s">
        <v>188</v>
      </c>
      <c r="L37" s="205" t="s">
        <v>187</v>
      </c>
      <c r="M37" s="205" t="s">
        <v>187</v>
      </c>
      <c r="N37" s="205" t="s">
        <v>187</v>
      </c>
      <c r="O37" s="205" t="s">
        <v>187</v>
      </c>
      <c r="P37" s="11" t="s">
        <v>189</v>
      </c>
      <c r="Q37" s="205" t="str">
        <f>'AI (Maturity Eval)'!AW37</f>
        <v>Y</v>
      </c>
      <c r="R37" s="11" t="s">
        <v>189</v>
      </c>
      <c r="S37" s="11" t="s">
        <v>211</v>
      </c>
      <c r="T37" s="207" t="s">
        <v>188</v>
      </c>
      <c r="U37" s="11" t="s">
        <v>211</v>
      </c>
      <c r="V37" s="206" t="s">
        <v>212</v>
      </c>
      <c r="W37" s="205" t="s">
        <v>187</v>
      </c>
      <c r="X37" s="205" t="s">
        <v>187</v>
      </c>
    </row>
    <row r="38" spans="2:24" ht="16" customHeight="1">
      <c r="B38" s="35" t="s">
        <v>54</v>
      </c>
      <c r="C38" s="42" t="s">
        <v>66</v>
      </c>
      <c r="D38" s="179" t="s">
        <v>187</v>
      </c>
      <c r="E38" s="180"/>
      <c r="F38" s="180" t="s">
        <v>188</v>
      </c>
      <c r="G38" s="181" t="s">
        <v>189</v>
      </c>
      <c r="H38" s="11" t="s">
        <v>211</v>
      </c>
      <c r="I38" s="207" t="s">
        <v>188</v>
      </c>
      <c r="J38" s="207" t="s">
        <v>188</v>
      </c>
      <c r="K38" s="207" t="s">
        <v>188</v>
      </c>
      <c r="L38" s="205" t="s">
        <v>187</v>
      </c>
      <c r="M38" s="205" t="s">
        <v>187</v>
      </c>
      <c r="N38" s="205" t="s">
        <v>187</v>
      </c>
      <c r="O38" s="205" t="s">
        <v>187</v>
      </c>
      <c r="P38" s="11" t="s">
        <v>189</v>
      </c>
      <c r="Q38" s="205" t="str">
        <f>'AI (Maturity Eval)'!AW38</f>
        <v>Y</v>
      </c>
      <c r="R38" s="205" t="s">
        <v>187</v>
      </c>
      <c r="S38" s="11" t="s">
        <v>211</v>
      </c>
      <c r="T38" s="205" t="s">
        <v>187</v>
      </c>
      <c r="U38" s="11" t="s">
        <v>211</v>
      </c>
      <c r="V38" s="206" t="s">
        <v>212</v>
      </c>
      <c r="W38" s="205" t="s">
        <v>187</v>
      </c>
      <c r="X38" s="205" t="s">
        <v>187</v>
      </c>
    </row>
    <row r="39" spans="2:24" ht="16" customHeight="1">
      <c r="B39" s="119" t="s">
        <v>54</v>
      </c>
      <c r="C39" s="120" t="s">
        <v>68</v>
      </c>
      <c r="D39" s="179" t="s">
        <v>187</v>
      </c>
      <c r="E39" s="180"/>
      <c r="F39" s="180" t="s">
        <v>188</v>
      </c>
      <c r="G39" s="181" t="s">
        <v>189</v>
      </c>
      <c r="H39" s="11" t="s">
        <v>211</v>
      </c>
      <c r="I39" s="11" t="s">
        <v>189</v>
      </c>
      <c r="J39" s="11" t="s">
        <v>189</v>
      </c>
      <c r="K39" s="11" t="s">
        <v>189</v>
      </c>
      <c r="L39" s="205" t="s">
        <v>187</v>
      </c>
      <c r="M39" s="205" t="s">
        <v>187</v>
      </c>
      <c r="N39" s="205" t="s">
        <v>187</v>
      </c>
      <c r="O39" s="205" t="s">
        <v>187</v>
      </c>
      <c r="P39" s="11" t="s">
        <v>189</v>
      </c>
      <c r="Q39" s="205" t="str">
        <f>'AI (Maturity Eval)'!AW39</f>
        <v>N/A</v>
      </c>
      <c r="R39" s="11" t="s">
        <v>189</v>
      </c>
      <c r="S39" s="11" t="s">
        <v>211</v>
      </c>
      <c r="T39" s="11" t="s">
        <v>189</v>
      </c>
      <c r="U39" s="11" t="s">
        <v>211</v>
      </c>
      <c r="V39" s="206" t="s">
        <v>212</v>
      </c>
      <c r="W39" s="205" t="s">
        <v>187</v>
      </c>
      <c r="X39" s="205" t="s">
        <v>187</v>
      </c>
    </row>
    <row r="40" spans="2:24" ht="16" customHeight="1">
      <c r="B40" s="119" t="s">
        <v>54</v>
      </c>
      <c r="C40" s="120" t="s">
        <v>70</v>
      </c>
      <c r="D40" s="177" t="s">
        <v>187</v>
      </c>
      <c r="E40" s="177"/>
      <c r="F40" s="177" t="s">
        <v>188</v>
      </c>
      <c r="G40" s="178" t="s">
        <v>189</v>
      </c>
      <c r="H40" s="11" t="s">
        <v>211</v>
      </c>
      <c r="I40" s="11" t="s">
        <v>189</v>
      </c>
      <c r="J40" s="11" t="s">
        <v>189</v>
      </c>
      <c r="K40" s="11" t="s">
        <v>189</v>
      </c>
      <c r="L40" s="205" t="s">
        <v>187</v>
      </c>
      <c r="M40" s="205" t="s">
        <v>187</v>
      </c>
      <c r="N40" s="205" t="s">
        <v>187</v>
      </c>
      <c r="O40" s="205" t="s">
        <v>187</v>
      </c>
      <c r="P40" s="11" t="s">
        <v>189</v>
      </c>
      <c r="Q40" s="205" t="str">
        <f>'AI (Maturity Eval)'!AW40</f>
        <v>N/A</v>
      </c>
      <c r="R40" s="11" t="s">
        <v>189</v>
      </c>
      <c r="S40" s="11" t="s">
        <v>211</v>
      </c>
      <c r="T40" s="11" t="s">
        <v>189</v>
      </c>
      <c r="U40" s="11" t="s">
        <v>211</v>
      </c>
      <c r="V40" s="206" t="s">
        <v>212</v>
      </c>
      <c r="W40" s="11" t="s">
        <v>189</v>
      </c>
      <c r="X40" s="11" t="s">
        <v>189</v>
      </c>
    </row>
    <row r="41" spans="2:24" ht="16" customHeight="1">
      <c r="B41" s="119" t="s">
        <v>54</v>
      </c>
      <c r="C41" s="120" t="s">
        <v>72</v>
      </c>
      <c r="D41" s="177" t="s">
        <v>187</v>
      </c>
      <c r="E41" s="177"/>
      <c r="F41" s="177" t="s">
        <v>188</v>
      </c>
      <c r="G41" s="178" t="s">
        <v>189</v>
      </c>
      <c r="H41" s="11" t="s">
        <v>211</v>
      </c>
      <c r="I41" s="11" t="s">
        <v>189</v>
      </c>
      <c r="J41" s="11" t="s">
        <v>189</v>
      </c>
      <c r="K41" s="11" t="s">
        <v>189</v>
      </c>
      <c r="L41" s="205" t="s">
        <v>187</v>
      </c>
      <c r="M41" s="205" t="s">
        <v>187</v>
      </c>
      <c r="N41" s="205" t="s">
        <v>187</v>
      </c>
      <c r="O41" s="205" t="s">
        <v>187</v>
      </c>
      <c r="P41" s="11" t="s">
        <v>189</v>
      </c>
      <c r="Q41" s="205" t="str">
        <f>'AI (Maturity Eval)'!AW41</f>
        <v>N/A</v>
      </c>
      <c r="R41" s="11" t="s">
        <v>189</v>
      </c>
      <c r="S41" s="11" t="s">
        <v>211</v>
      </c>
      <c r="T41" s="11" t="s">
        <v>189</v>
      </c>
      <c r="U41" s="11" t="s">
        <v>211</v>
      </c>
      <c r="V41" s="206" t="s">
        <v>212</v>
      </c>
      <c r="W41" s="207" t="s">
        <v>188</v>
      </c>
      <c r="X41" s="11" t="s">
        <v>189</v>
      </c>
    </row>
    <row r="42" spans="2:24" ht="16" customHeight="1">
      <c r="B42" s="119" t="s">
        <v>54</v>
      </c>
      <c r="C42" s="120" t="s">
        <v>74</v>
      </c>
      <c r="D42" s="177" t="s">
        <v>187</v>
      </c>
      <c r="E42" s="177"/>
      <c r="F42" s="177" t="s">
        <v>188</v>
      </c>
      <c r="G42" s="178" t="s">
        <v>189</v>
      </c>
      <c r="H42" s="11" t="s">
        <v>211</v>
      </c>
      <c r="I42" s="11" t="s">
        <v>189</v>
      </c>
      <c r="J42" s="11" t="s">
        <v>189</v>
      </c>
      <c r="K42" s="11" t="s">
        <v>189</v>
      </c>
      <c r="L42" s="205" t="s">
        <v>187</v>
      </c>
      <c r="M42" s="205" t="s">
        <v>187</v>
      </c>
      <c r="N42" s="205" t="s">
        <v>187</v>
      </c>
      <c r="O42" s="205" t="s">
        <v>187</v>
      </c>
      <c r="P42" s="11" t="s">
        <v>189</v>
      </c>
      <c r="Q42" s="205" t="str">
        <f>'AI (Maturity Eval)'!AW42</f>
        <v>N/A</v>
      </c>
      <c r="R42" s="11" t="s">
        <v>189</v>
      </c>
      <c r="S42" s="11" t="s">
        <v>211</v>
      </c>
      <c r="T42" s="11" t="s">
        <v>189</v>
      </c>
      <c r="U42" s="11" t="s">
        <v>211</v>
      </c>
      <c r="V42" s="206" t="s">
        <v>212</v>
      </c>
      <c r="W42" s="207" t="s">
        <v>188</v>
      </c>
      <c r="X42" s="11" t="s">
        <v>189</v>
      </c>
    </row>
    <row r="43" spans="2:24" ht="16" customHeight="1">
      <c r="B43" s="35" t="s">
        <v>76</v>
      </c>
      <c r="C43" s="37" t="s">
        <v>78</v>
      </c>
      <c r="D43" s="177" t="s">
        <v>187</v>
      </c>
      <c r="E43" s="177"/>
      <c r="F43" s="177" t="s">
        <v>188</v>
      </c>
      <c r="G43" s="178" t="s">
        <v>189</v>
      </c>
      <c r="H43" s="11" t="s">
        <v>211</v>
      </c>
      <c r="I43" s="207" t="s">
        <v>188</v>
      </c>
      <c r="J43" s="207" t="s">
        <v>188</v>
      </c>
      <c r="K43" s="207" t="s">
        <v>188</v>
      </c>
      <c r="L43" s="205" t="s">
        <v>187</v>
      </c>
      <c r="M43" s="205" t="s">
        <v>187</v>
      </c>
      <c r="N43" s="11" t="s">
        <v>189</v>
      </c>
      <c r="O43" s="11" t="s">
        <v>189</v>
      </c>
      <c r="P43" s="11" t="s">
        <v>189</v>
      </c>
      <c r="Q43" s="205" t="str">
        <f>'AI (Maturity Eval)'!AW43</f>
        <v>Y</v>
      </c>
      <c r="R43" s="11" t="s">
        <v>211</v>
      </c>
      <c r="S43" s="11" t="s">
        <v>211</v>
      </c>
      <c r="T43" s="205" t="s">
        <v>187</v>
      </c>
      <c r="U43" s="11" t="s">
        <v>211</v>
      </c>
      <c r="V43" s="206" t="s">
        <v>212</v>
      </c>
      <c r="W43" s="205" t="s">
        <v>187</v>
      </c>
      <c r="X43" s="205" t="s">
        <v>187</v>
      </c>
    </row>
    <row r="44" spans="2:24" ht="16" customHeight="1">
      <c r="B44" s="35" t="s">
        <v>76</v>
      </c>
      <c r="C44" s="34" t="s">
        <v>80</v>
      </c>
      <c r="D44" s="177" t="s">
        <v>187</v>
      </c>
      <c r="E44" s="177"/>
      <c r="F44" s="177" t="s">
        <v>188</v>
      </c>
      <c r="G44" s="178" t="s">
        <v>189</v>
      </c>
      <c r="H44" s="11" t="s">
        <v>211</v>
      </c>
      <c r="I44" s="207" t="s">
        <v>188</v>
      </c>
      <c r="J44" s="207" t="s">
        <v>188</v>
      </c>
      <c r="K44" s="207" t="s">
        <v>188</v>
      </c>
      <c r="L44" s="205" t="s">
        <v>187</v>
      </c>
      <c r="M44" s="205" t="s">
        <v>187</v>
      </c>
      <c r="N44" s="11" t="s">
        <v>189</v>
      </c>
      <c r="O44" s="11" t="s">
        <v>189</v>
      </c>
      <c r="P44" s="11" t="s">
        <v>189</v>
      </c>
      <c r="Q44" s="205" t="str">
        <f>'AI (Maturity Eval)'!AW44</f>
        <v>Y</v>
      </c>
      <c r="R44" s="11" t="s">
        <v>211</v>
      </c>
      <c r="S44" s="11" t="s">
        <v>211</v>
      </c>
      <c r="T44" s="205" t="s">
        <v>187</v>
      </c>
      <c r="U44" s="11" t="s">
        <v>211</v>
      </c>
      <c r="V44" s="11" t="s">
        <v>211</v>
      </c>
      <c r="W44" s="205" t="s">
        <v>187</v>
      </c>
      <c r="X44" s="205" t="s">
        <v>187</v>
      </c>
    </row>
    <row r="45" spans="2:24" ht="16" customHeight="1">
      <c r="B45" s="35" t="s">
        <v>76</v>
      </c>
      <c r="C45" s="39" t="s">
        <v>82</v>
      </c>
      <c r="D45" s="177" t="s">
        <v>187</v>
      </c>
      <c r="E45" s="177"/>
      <c r="F45" s="177" t="s">
        <v>188</v>
      </c>
      <c r="G45" s="178" t="s">
        <v>189</v>
      </c>
      <c r="H45" s="11" t="s">
        <v>211</v>
      </c>
      <c r="I45" s="207" t="s">
        <v>188</v>
      </c>
      <c r="J45" s="207" t="s">
        <v>188</v>
      </c>
      <c r="K45" s="207" t="s">
        <v>188</v>
      </c>
      <c r="L45" s="11" t="s">
        <v>213</v>
      </c>
      <c r="M45" s="11" t="s">
        <v>189</v>
      </c>
      <c r="N45" s="205" t="s">
        <v>187</v>
      </c>
      <c r="O45" s="205" t="s">
        <v>187</v>
      </c>
      <c r="P45" s="11" t="s">
        <v>189</v>
      </c>
      <c r="Q45" s="205" t="str">
        <f>'AI (Maturity Eval)'!AW45</f>
        <v>Y</v>
      </c>
      <c r="R45" s="11" t="s">
        <v>211</v>
      </c>
      <c r="S45" s="11" t="s">
        <v>211</v>
      </c>
      <c r="T45" s="207" t="s">
        <v>188</v>
      </c>
      <c r="U45" s="11" t="s">
        <v>211</v>
      </c>
      <c r="V45" s="206" t="s">
        <v>212</v>
      </c>
      <c r="W45" s="205" t="s">
        <v>187</v>
      </c>
      <c r="X45" s="11" t="s">
        <v>189</v>
      </c>
    </row>
    <row r="46" spans="2:24" ht="16" customHeight="1">
      <c r="B46" s="35" t="s">
        <v>76</v>
      </c>
      <c r="C46" s="42" t="s">
        <v>84</v>
      </c>
      <c r="D46" s="177" t="s">
        <v>187</v>
      </c>
      <c r="E46" s="177"/>
      <c r="F46" s="177" t="s">
        <v>188</v>
      </c>
      <c r="G46" s="178" t="s">
        <v>189</v>
      </c>
      <c r="H46" s="11" t="s">
        <v>211</v>
      </c>
      <c r="I46" s="11" t="s">
        <v>211</v>
      </c>
      <c r="J46" s="11" t="s">
        <v>211</v>
      </c>
      <c r="K46" s="11" t="s">
        <v>211</v>
      </c>
      <c r="L46" s="205" t="s">
        <v>187</v>
      </c>
      <c r="M46" s="205" t="s">
        <v>187</v>
      </c>
      <c r="N46" s="205" t="s">
        <v>187</v>
      </c>
      <c r="O46" s="205" t="s">
        <v>187</v>
      </c>
      <c r="P46" s="11" t="s">
        <v>189</v>
      </c>
      <c r="Q46" s="205" t="str">
        <f>'AI (Maturity Eval)'!AW46</f>
        <v>Y</v>
      </c>
      <c r="R46" s="11" t="s">
        <v>211</v>
      </c>
      <c r="S46" s="11" t="s">
        <v>211</v>
      </c>
      <c r="T46" s="205" t="s">
        <v>187</v>
      </c>
      <c r="U46" s="11" t="s">
        <v>211</v>
      </c>
      <c r="V46" s="11" t="s">
        <v>189</v>
      </c>
      <c r="W46" s="205" t="s">
        <v>187</v>
      </c>
      <c r="X46" s="205" t="s">
        <v>187</v>
      </c>
    </row>
    <row r="47" spans="2:24" ht="16" customHeight="1">
      <c r="B47" s="35" t="s">
        <v>76</v>
      </c>
      <c r="C47" s="42" t="s">
        <v>87</v>
      </c>
      <c r="D47" s="177" t="s">
        <v>187</v>
      </c>
      <c r="E47" s="177"/>
      <c r="F47" s="177" t="s">
        <v>188</v>
      </c>
      <c r="G47" s="178" t="s">
        <v>189</v>
      </c>
      <c r="H47" s="11" t="s">
        <v>211</v>
      </c>
      <c r="I47" s="11" t="s">
        <v>211</v>
      </c>
      <c r="J47" s="11" t="s">
        <v>211</v>
      </c>
      <c r="K47" s="11" t="s">
        <v>211</v>
      </c>
      <c r="L47" s="205" t="s">
        <v>187</v>
      </c>
      <c r="M47" s="205" t="s">
        <v>187</v>
      </c>
      <c r="N47" s="205" t="s">
        <v>187</v>
      </c>
      <c r="O47" s="205" t="s">
        <v>187</v>
      </c>
      <c r="P47" s="11" t="s">
        <v>189</v>
      </c>
      <c r="Q47" s="205" t="str">
        <f>'AI (Maturity Eval)'!AW47</f>
        <v>Y</v>
      </c>
      <c r="R47" s="11" t="s">
        <v>211</v>
      </c>
      <c r="S47" s="11" t="s">
        <v>211</v>
      </c>
      <c r="T47" s="205" t="s">
        <v>187</v>
      </c>
      <c r="U47" s="11" t="s">
        <v>211</v>
      </c>
      <c r="V47" s="11" t="s">
        <v>189</v>
      </c>
      <c r="W47" s="205" t="s">
        <v>187</v>
      </c>
      <c r="X47" s="205" t="s">
        <v>187</v>
      </c>
    </row>
    <row r="48" spans="2:24" ht="16" customHeight="1">
      <c r="B48" s="35" t="s">
        <v>76</v>
      </c>
      <c r="C48" s="42" t="s">
        <v>89</v>
      </c>
      <c r="D48" s="177" t="s">
        <v>187</v>
      </c>
      <c r="E48" s="177"/>
      <c r="F48" s="177" t="s">
        <v>188</v>
      </c>
      <c r="G48" s="178" t="s">
        <v>189</v>
      </c>
      <c r="H48" s="11" t="s">
        <v>211</v>
      </c>
      <c r="I48" s="11" t="s">
        <v>189</v>
      </c>
      <c r="J48" s="11" t="s">
        <v>189</v>
      </c>
      <c r="K48" s="11" t="s">
        <v>189</v>
      </c>
      <c r="L48" s="205" t="s">
        <v>187</v>
      </c>
      <c r="M48" s="205" t="s">
        <v>187</v>
      </c>
      <c r="N48" s="205" t="s">
        <v>187</v>
      </c>
      <c r="O48" s="205" t="s">
        <v>187</v>
      </c>
      <c r="P48" s="11" t="s">
        <v>189</v>
      </c>
      <c r="Q48" s="205" t="str">
        <f>'AI (Maturity Eval)'!AW48</f>
        <v>Y</v>
      </c>
      <c r="R48" s="11" t="s">
        <v>211</v>
      </c>
      <c r="S48" s="11" t="s">
        <v>211</v>
      </c>
      <c r="T48" s="205" t="s">
        <v>187</v>
      </c>
      <c r="U48" s="11" t="s">
        <v>211</v>
      </c>
      <c r="V48" s="11" t="s">
        <v>189</v>
      </c>
      <c r="W48" s="205" t="s">
        <v>187</v>
      </c>
      <c r="X48" s="205" t="s">
        <v>187</v>
      </c>
    </row>
    <row r="49" spans="2:24" ht="16" customHeight="1">
      <c r="B49" s="35" t="s">
        <v>76</v>
      </c>
      <c r="C49" s="42" t="s">
        <v>91</v>
      </c>
      <c r="D49" s="177" t="s">
        <v>187</v>
      </c>
      <c r="E49" s="177"/>
      <c r="F49" s="177" t="s">
        <v>188</v>
      </c>
      <c r="G49" s="178" t="s">
        <v>189</v>
      </c>
      <c r="H49" s="11" t="s">
        <v>211</v>
      </c>
      <c r="I49" s="11" t="s">
        <v>189</v>
      </c>
      <c r="J49" s="11" t="s">
        <v>189</v>
      </c>
      <c r="K49" s="11" t="s">
        <v>189</v>
      </c>
      <c r="L49" s="11" t="s">
        <v>213</v>
      </c>
      <c r="M49" s="11" t="s">
        <v>189</v>
      </c>
      <c r="N49" s="205" t="s">
        <v>187</v>
      </c>
      <c r="O49" s="11" t="s">
        <v>189</v>
      </c>
      <c r="P49" s="11" t="s">
        <v>189</v>
      </c>
      <c r="Q49" s="205" t="str">
        <f>'AI (Maturity Eval)'!AW49</f>
        <v>Y</v>
      </c>
      <c r="R49" s="11" t="s">
        <v>211</v>
      </c>
      <c r="S49" s="11" t="s">
        <v>211</v>
      </c>
      <c r="T49" s="11" t="s">
        <v>213</v>
      </c>
      <c r="U49" s="11" t="s">
        <v>211</v>
      </c>
      <c r="V49" s="206" t="s">
        <v>212</v>
      </c>
      <c r="W49" s="11" t="s">
        <v>211</v>
      </c>
      <c r="X49" s="11" t="s">
        <v>189</v>
      </c>
    </row>
    <row r="50" spans="2:24" ht="16" customHeight="1">
      <c r="B50" s="35" t="s">
        <v>76</v>
      </c>
      <c r="C50" s="78" t="s">
        <v>93</v>
      </c>
      <c r="D50" s="177" t="s">
        <v>187</v>
      </c>
      <c r="E50" s="177"/>
      <c r="F50" s="177" t="s">
        <v>188</v>
      </c>
      <c r="G50" s="178" t="s">
        <v>189</v>
      </c>
      <c r="H50" s="11" t="s">
        <v>211</v>
      </c>
      <c r="I50" s="207" t="s">
        <v>188</v>
      </c>
      <c r="J50" s="207" t="s">
        <v>188</v>
      </c>
      <c r="K50" s="207" t="s">
        <v>188</v>
      </c>
      <c r="L50" s="11" t="s">
        <v>213</v>
      </c>
      <c r="M50" s="206" t="s">
        <v>212</v>
      </c>
      <c r="N50" s="11" t="s">
        <v>189</v>
      </c>
      <c r="O50" s="11" t="s">
        <v>189</v>
      </c>
      <c r="P50" s="11" t="s">
        <v>189</v>
      </c>
      <c r="Q50" s="205" t="str">
        <f>'AI (Maturity Eval)'!AW50</f>
        <v>N/A</v>
      </c>
      <c r="R50" s="11" t="s">
        <v>211</v>
      </c>
      <c r="S50" s="11" t="s">
        <v>211</v>
      </c>
      <c r="T50" s="207" t="s">
        <v>188</v>
      </c>
      <c r="U50" s="11" t="s">
        <v>211</v>
      </c>
      <c r="V50" s="206" t="s">
        <v>212</v>
      </c>
      <c r="W50" s="206" t="s">
        <v>212</v>
      </c>
      <c r="X50" s="11" t="s">
        <v>211</v>
      </c>
    </row>
    <row r="51" spans="2:24" ht="16" customHeight="1">
      <c r="B51" s="35" t="s">
        <v>76</v>
      </c>
      <c r="C51" s="78" t="s">
        <v>190</v>
      </c>
      <c r="D51" s="177" t="s">
        <v>187</v>
      </c>
      <c r="E51" s="177"/>
      <c r="F51" s="177" t="s">
        <v>188</v>
      </c>
      <c r="G51" s="178" t="s">
        <v>189</v>
      </c>
      <c r="H51" s="11" t="s">
        <v>211</v>
      </c>
      <c r="I51" s="207" t="s">
        <v>188</v>
      </c>
      <c r="J51" s="207" t="s">
        <v>188</v>
      </c>
      <c r="K51" s="207" t="s">
        <v>188</v>
      </c>
      <c r="L51" s="11" t="s">
        <v>213</v>
      </c>
      <c r="M51" s="206" t="s">
        <v>212</v>
      </c>
      <c r="N51" s="11" t="s">
        <v>189</v>
      </c>
      <c r="O51" s="11" t="s">
        <v>189</v>
      </c>
      <c r="P51" s="11" t="s">
        <v>189</v>
      </c>
      <c r="Q51" s="205" t="str">
        <f>'AI (Maturity Eval)'!AW51</f>
        <v>N/A</v>
      </c>
      <c r="R51" s="11" t="s">
        <v>211</v>
      </c>
      <c r="S51" s="11" t="s">
        <v>211</v>
      </c>
      <c r="T51" s="207" t="s">
        <v>188</v>
      </c>
      <c r="U51" s="11" t="s">
        <v>211</v>
      </c>
      <c r="V51" s="206" t="s">
        <v>212</v>
      </c>
      <c r="W51" s="207" t="s">
        <v>188</v>
      </c>
      <c r="X51" s="11" t="s">
        <v>211</v>
      </c>
    </row>
    <row r="52" spans="2:24" ht="16" customHeight="1">
      <c r="B52" s="35" t="s">
        <v>76</v>
      </c>
      <c r="C52" s="78" t="s">
        <v>191</v>
      </c>
      <c r="D52" s="177" t="s">
        <v>187</v>
      </c>
      <c r="E52" s="177"/>
      <c r="F52" s="177" t="s">
        <v>188</v>
      </c>
      <c r="G52" s="178" t="s">
        <v>189</v>
      </c>
      <c r="H52" s="11" t="s">
        <v>211</v>
      </c>
      <c r="I52" s="207" t="s">
        <v>188</v>
      </c>
      <c r="J52" s="207" t="s">
        <v>188</v>
      </c>
      <c r="K52" s="207" t="s">
        <v>188</v>
      </c>
      <c r="L52" s="11" t="s">
        <v>213</v>
      </c>
      <c r="M52" s="206" t="s">
        <v>212</v>
      </c>
      <c r="N52" s="11" t="s">
        <v>189</v>
      </c>
      <c r="O52" s="11" t="s">
        <v>189</v>
      </c>
      <c r="P52" s="11" t="s">
        <v>189</v>
      </c>
      <c r="Q52" s="205" t="str">
        <f>'AI (Maturity Eval)'!AW52</f>
        <v>N/A</v>
      </c>
      <c r="R52" s="11" t="s">
        <v>211</v>
      </c>
      <c r="S52" s="11" t="s">
        <v>211</v>
      </c>
      <c r="T52" s="207" t="s">
        <v>188</v>
      </c>
      <c r="U52" s="11" t="s">
        <v>211</v>
      </c>
      <c r="V52" s="206" t="s">
        <v>212</v>
      </c>
      <c r="W52" s="11" t="s">
        <v>189</v>
      </c>
      <c r="X52" s="11" t="s">
        <v>211</v>
      </c>
    </row>
    <row r="53" spans="2:24" ht="16" customHeight="1">
      <c r="B53" s="35" t="s">
        <v>76</v>
      </c>
      <c r="C53" s="50" t="s">
        <v>99</v>
      </c>
      <c r="D53" s="177" t="s">
        <v>187</v>
      </c>
      <c r="E53" s="177"/>
      <c r="F53" s="177" t="s">
        <v>188</v>
      </c>
      <c r="G53" s="178" t="s">
        <v>189</v>
      </c>
      <c r="H53" s="11" t="s">
        <v>211</v>
      </c>
      <c r="I53" s="207" t="s">
        <v>188</v>
      </c>
      <c r="J53" s="207" t="s">
        <v>188</v>
      </c>
      <c r="K53" s="207" t="s">
        <v>188</v>
      </c>
      <c r="L53" s="11" t="s">
        <v>213</v>
      </c>
      <c r="M53" s="11" t="s">
        <v>189</v>
      </c>
      <c r="N53" s="11" t="s">
        <v>189</v>
      </c>
      <c r="O53" s="11" t="s">
        <v>189</v>
      </c>
      <c r="P53" s="11" t="s">
        <v>189</v>
      </c>
      <c r="Q53" s="205" t="str">
        <f>'AI (Maturity Eval)'!AW53</f>
        <v>Y</v>
      </c>
      <c r="R53" s="11" t="s">
        <v>211</v>
      </c>
      <c r="S53" s="11" t="s">
        <v>211</v>
      </c>
      <c r="T53" s="11" t="s">
        <v>189</v>
      </c>
      <c r="U53" s="11" t="s">
        <v>211</v>
      </c>
      <c r="V53" s="206" t="s">
        <v>212</v>
      </c>
      <c r="W53" s="207" t="s">
        <v>188</v>
      </c>
      <c r="X53" s="11" t="s">
        <v>213</v>
      </c>
    </row>
    <row r="54" spans="2:24" ht="16" customHeight="1">
      <c r="B54" s="35" t="s">
        <v>76</v>
      </c>
      <c r="C54" s="42" t="s">
        <v>101</v>
      </c>
      <c r="D54" s="177" t="s">
        <v>187</v>
      </c>
      <c r="E54" s="177"/>
      <c r="F54" s="177" t="s">
        <v>188</v>
      </c>
      <c r="G54" s="178" t="s">
        <v>189</v>
      </c>
      <c r="H54" s="11" t="s">
        <v>211</v>
      </c>
      <c r="I54" s="207" t="s">
        <v>188</v>
      </c>
      <c r="J54" s="207" t="s">
        <v>188</v>
      </c>
      <c r="K54" s="207" t="s">
        <v>188</v>
      </c>
      <c r="L54" s="11" t="s">
        <v>213</v>
      </c>
      <c r="M54" s="11" t="s">
        <v>189</v>
      </c>
      <c r="N54" s="205" t="s">
        <v>187</v>
      </c>
      <c r="O54" s="205" t="s">
        <v>187</v>
      </c>
      <c r="P54" s="11" t="s">
        <v>189</v>
      </c>
      <c r="Q54" s="205" t="str">
        <f>'AI (Maturity Eval)'!AW54</f>
        <v>Y</v>
      </c>
      <c r="R54" s="11" t="s">
        <v>211</v>
      </c>
      <c r="S54" s="11" t="s">
        <v>211</v>
      </c>
      <c r="T54" s="11" t="s">
        <v>213</v>
      </c>
      <c r="U54" s="11" t="s">
        <v>211</v>
      </c>
      <c r="V54" s="206" t="s">
        <v>212</v>
      </c>
      <c r="W54" s="11" t="s">
        <v>189</v>
      </c>
      <c r="X54" s="11" t="s">
        <v>211</v>
      </c>
    </row>
    <row r="55" spans="2:24" ht="16" customHeight="1">
      <c r="B55" s="35" t="s">
        <v>76</v>
      </c>
      <c r="C55" s="42" t="s">
        <v>103</v>
      </c>
      <c r="D55" s="177" t="s">
        <v>187</v>
      </c>
      <c r="E55" s="177"/>
      <c r="F55" s="177" t="s">
        <v>188</v>
      </c>
      <c r="G55" s="178" t="s">
        <v>189</v>
      </c>
      <c r="H55" s="11" t="s">
        <v>211</v>
      </c>
      <c r="I55" s="205" t="s">
        <v>187</v>
      </c>
      <c r="J55" s="205" t="s">
        <v>187</v>
      </c>
      <c r="K55" s="205" t="s">
        <v>187</v>
      </c>
      <c r="L55" s="11" t="s">
        <v>189</v>
      </c>
      <c r="M55" s="11" t="s">
        <v>189</v>
      </c>
      <c r="N55" s="206" t="s">
        <v>212</v>
      </c>
      <c r="O55" s="206" t="s">
        <v>212</v>
      </c>
      <c r="P55" s="11" t="s">
        <v>189</v>
      </c>
      <c r="Q55" s="205" t="str">
        <f>'AI (Maturity Eval)'!AW55</f>
        <v>Y</v>
      </c>
      <c r="R55" s="11" t="s">
        <v>211</v>
      </c>
      <c r="S55" s="11" t="s">
        <v>211</v>
      </c>
      <c r="T55" s="11" t="s">
        <v>189</v>
      </c>
      <c r="U55" s="11" t="s">
        <v>211</v>
      </c>
      <c r="V55" s="11" t="s">
        <v>189</v>
      </c>
      <c r="W55" s="11" t="s">
        <v>189</v>
      </c>
      <c r="X55" s="11" t="s">
        <v>211</v>
      </c>
    </row>
    <row r="56" spans="2:24" ht="16">
      <c r="B56" s="35" t="s">
        <v>76</v>
      </c>
      <c r="C56" s="42" t="s">
        <v>105</v>
      </c>
      <c r="D56" s="177" t="s">
        <v>187</v>
      </c>
      <c r="E56" s="177"/>
      <c r="F56" s="177" t="s">
        <v>188</v>
      </c>
      <c r="G56" s="178" t="s">
        <v>189</v>
      </c>
      <c r="H56" s="11" t="s">
        <v>211</v>
      </c>
      <c r="I56" s="205" t="s">
        <v>187</v>
      </c>
      <c r="J56" s="205" t="s">
        <v>187</v>
      </c>
      <c r="K56" s="205" t="s">
        <v>187</v>
      </c>
      <c r="L56" s="205" t="s">
        <v>187</v>
      </c>
      <c r="M56" s="11" t="s">
        <v>189</v>
      </c>
      <c r="N56" s="206" t="s">
        <v>212</v>
      </c>
      <c r="O56" s="206" t="s">
        <v>212</v>
      </c>
      <c r="P56" s="11" t="s">
        <v>189</v>
      </c>
      <c r="Q56" s="205" t="str">
        <f>'AI (Maturity Eval)'!AW56</f>
        <v>Y</v>
      </c>
      <c r="R56" s="11" t="s">
        <v>211</v>
      </c>
      <c r="S56" s="11" t="s">
        <v>211</v>
      </c>
      <c r="T56" s="11" t="s">
        <v>189</v>
      </c>
      <c r="U56" s="11" t="s">
        <v>211</v>
      </c>
      <c r="V56" s="205" t="s">
        <v>187</v>
      </c>
      <c r="W56" s="207" t="s">
        <v>188</v>
      </c>
      <c r="X56" s="205" t="s">
        <v>187</v>
      </c>
    </row>
    <row r="57" spans="2:24" ht="16">
      <c r="B57" s="35" t="s">
        <v>107</v>
      </c>
      <c r="C57" s="39" t="s">
        <v>109</v>
      </c>
      <c r="D57" s="177" t="s">
        <v>192</v>
      </c>
      <c r="E57" s="177"/>
      <c r="F57" s="177" t="s">
        <v>193</v>
      </c>
      <c r="G57" s="178" t="s">
        <v>194</v>
      </c>
      <c r="H57" s="198" t="s">
        <v>212</v>
      </c>
      <c r="I57" s="198" t="s">
        <v>189</v>
      </c>
      <c r="J57" s="198" t="s">
        <v>189</v>
      </c>
      <c r="K57" s="198" t="s">
        <v>189</v>
      </c>
      <c r="L57" s="198" t="s">
        <v>189</v>
      </c>
      <c r="M57" s="198" t="s">
        <v>189</v>
      </c>
      <c r="N57" s="198" t="s">
        <v>187</v>
      </c>
      <c r="O57" s="198" t="s">
        <v>187</v>
      </c>
      <c r="P57" s="198" t="s">
        <v>189</v>
      </c>
      <c r="Q57" s="205" t="str">
        <f>'AI (Maturity Eval)'!AW57</f>
        <v>N</v>
      </c>
      <c r="R57" s="198" t="s">
        <v>211</v>
      </c>
      <c r="S57" s="198" t="s">
        <v>211</v>
      </c>
      <c r="T57" s="198" t="s">
        <v>189</v>
      </c>
      <c r="U57" s="198" t="s">
        <v>211</v>
      </c>
      <c r="V57" s="198" t="s">
        <v>189</v>
      </c>
      <c r="W57" s="198" t="s">
        <v>189</v>
      </c>
      <c r="X57" s="315"/>
    </row>
    <row r="58" spans="2:24" ht="16">
      <c r="B58" s="35" t="s">
        <v>107</v>
      </c>
      <c r="C58" s="39" t="s">
        <v>111</v>
      </c>
      <c r="D58" s="177" t="s">
        <v>195</v>
      </c>
      <c r="E58" s="177"/>
      <c r="F58" s="177" t="s">
        <v>196</v>
      </c>
      <c r="G58" s="178" t="s">
        <v>197</v>
      </c>
      <c r="H58" s="198" t="s">
        <v>212</v>
      </c>
      <c r="I58" s="198" t="s">
        <v>189</v>
      </c>
      <c r="J58" s="198" t="s">
        <v>189</v>
      </c>
      <c r="K58" s="198" t="s">
        <v>189</v>
      </c>
      <c r="L58" s="198" t="s">
        <v>189</v>
      </c>
      <c r="M58" s="198" t="s">
        <v>189</v>
      </c>
      <c r="N58" s="198" t="s">
        <v>187</v>
      </c>
      <c r="O58" s="198" t="s">
        <v>187</v>
      </c>
      <c r="P58" s="198" t="s">
        <v>189</v>
      </c>
      <c r="Q58" s="205" t="str">
        <f>'AI (Maturity Eval)'!AW58</f>
        <v>N</v>
      </c>
      <c r="R58" s="198" t="s">
        <v>211</v>
      </c>
      <c r="S58" s="198" t="s">
        <v>211</v>
      </c>
      <c r="T58" s="198" t="s">
        <v>189</v>
      </c>
      <c r="U58" s="198" t="s">
        <v>211</v>
      </c>
      <c r="V58" s="198" t="s">
        <v>189</v>
      </c>
      <c r="W58" s="198" t="s">
        <v>189</v>
      </c>
      <c r="X58" s="315"/>
    </row>
    <row r="59" spans="2:24" ht="16">
      <c r="B59" s="35" t="s">
        <v>107</v>
      </c>
      <c r="C59" s="42" t="s">
        <v>113</v>
      </c>
      <c r="D59" s="177">
        <v>0</v>
      </c>
      <c r="E59" s="177"/>
      <c r="F59" s="177">
        <v>1</v>
      </c>
      <c r="G59" s="178" t="s">
        <v>198</v>
      </c>
      <c r="H59" s="198" t="s">
        <v>212</v>
      </c>
      <c r="I59" s="198" t="s">
        <v>189</v>
      </c>
      <c r="J59" s="198" t="s">
        <v>189</v>
      </c>
      <c r="K59" s="198" t="s">
        <v>189</v>
      </c>
      <c r="L59" s="198" t="s">
        <v>189</v>
      </c>
      <c r="M59" s="198" t="s">
        <v>189</v>
      </c>
      <c r="N59" s="198" t="s">
        <v>189</v>
      </c>
      <c r="O59" s="198" t="s">
        <v>189</v>
      </c>
      <c r="P59" s="198" t="s">
        <v>189</v>
      </c>
      <c r="Q59" s="205" t="str">
        <f>'AI (Maturity Eval)'!AW59</f>
        <v>N</v>
      </c>
      <c r="R59" s="198" t="s">
        <v>211</v>
      </c>
      <c r="S59" s="198" t="s">
        <v>211</v>
      </c>
      <c r="T59" s="198" t="s">
        <v>189</v>
      </c>
      <c r="U59" s="198" t="s">
        <v>211</v>
      </c>
      <c r="V59" s="198" t="s">
        <v>189</v>
      </c>
      <c r="W59" s="198" t="s">
        <v>189</v>
      </c>
      <c r="X59" s="315"/>
    </row>
    <row r="60" spans="2:24" ht="16" customHeight="1">
      <c r="B60" s="35" t="s">
        <v>107</v>
      </c>
      <c r="C60" s="39" t="s">
        <v>115</v>
      </c>
      <c r="D60" s="177" t="s">
        <v>199</v>
      </c>
      <c r="E60" s="177"/>
      <c r="F60" s="177" t="s">
        <v>200</v>
      </c>
      <c r="G60" s="178" t="s">
        <v>201</v>
      </c>
      <c r="H60" s="198" t="s">
        <v>212</v>
      </c>
      <c r="I60" s="198" t="s">
        <v>189</v>
      </c>
      <c r="J60" s="198" t="s">
        <v>189</v>
      </c>
      <c r="K60" s="198" t="s">
        <v>189</v>
      </c>
      <c r="L60" s="198" t="s">
        <v>189</v>
      </c>
      <c r="M60" s="198" t="s">
        <v>189</v>
      </c>
      <c r="N60" s="198" t="s">
        <v>187</v>
      </c>
      <c r="O60" s="198" t="s">
        <v>187</v>
      </c>
      <c r="P60" s="198" t="s">
        <v>189</v>
      </c>
      <c r="Q60" s="205" t="str">
        <f>'AI (Maturity Eval)'!AW60</f>
        <v>N</v>
      </c>
      <c r="R60" s="198" t="s">
        <v>211</v>
      </c>
      <c r="S60" s="198" t="s">
        <v>211</v>
      </c>
      <c r="T60" s="198" t="s">
        <v>189</v>
      </c>
      <c r="U60" s="198" t="s">
        <v>211</v>
      </c>
      <c r="V60" s="198" t="s">
        <v>189</v>
      </c>
      <c r="W60" s="198" t="s">
        <v>189</v>
      </c>
      <c r="X60" s="315"/>
    </row>
    <row r="61" spans="2:24" ht="16" customHeight="1">
      <c r="B61" s="35" t="s">
        <v>107</v>
      </c>
      <c r="C61" s="39" t="s">
        <v>117</v>
      </c>
      <c r="D61" s="177" t="s">
        <v>202</v>
      </c>
      <c r="E61" s="177"/>
      <c r="F61" s="177" t="s">
        <v>203</v>
      </c>
      <c r="G61" s="178" t="s">
        <v>204</v>
      </c>
      <c r="H61" s="198" t="s">
        <v>212</v>
      </c>
      <c r="I61" s="198" t="s">
        <v>187</v>
      </c>
      <c r="J61" s="198" t="s">
        <v>187</v>
      </c>
      <c r="K61" s="198" t="s">
        <v>187</v>
      </c>
      <c r="L61" s="198" t="s">
        <v>189</v>
      </c>
      <c r="M61" s="198" t="s">
        <v>189</v>
      </c>
      <c r="N61" s="198" t="s">
        <v>187</v>
      </c>
      <c r="O61" s="198" t="s">
        <v>187</v>
      </c>
      <c r="P61" s="198" t="s">
        <v>189</v>
      </c>
      <c r="Q61" s="205" t="str">
        <f>'AI (Maturity Eval)'!AW61</f>
        <v>N</v>
      </c>
      <c r="R61" s="198" t="s">
        <v>211</v>
      </c>
      <c r="S61" s="198" t="s">
        <v>211</v>
      </c>
      <c r="T61" s="198" t="s">
        <v>189</v>
      </c>
      <c r="U61" s="198" t="s">
        <v>211</v>
      </c>
      <c r="V61" s="198" t="s">
        <v>189</v>
      </c>
      <c r="W61" s="198" t="s">
        <v>189</v>
      </c>
      <c r="X61" s="315"/>
    </row>
    <row r="62" spans="2:24" ht="16" customHeight="1">
      <c r="B62" s="35" t="s">
        <v>107</v>
      </c>
      <c r="C62" s="39" t="s">
        <v>119</v>
      </c>
      <c r="D62" s="177">
        <v>0</v>
      </c>
      <c r="E62" s="177"/>
      <c r="F62" s="177">
        <v>1</v>
      </c>
      <c r="G62" s="178" t="s">
        <v>198</v>
      </c>
      <c r="H62" s="198" t="s">
        <v>212</v>
      </c>
      <c r="I62" s="198" t="s">
        <v>189</v>
      </c>
      <c r="J62" s="198" t="s">
        <v>189</v>
      </c>
      <c r="K62" s="198" t="s">
        <v>189</v>
      </c>
      <c r="L62" s="198" t="s">
        <v>189</v>
      </c>
      <c r="M62" s="198" t="s">
        <v>189</v>
      </c>
      <c r="N62" s="198" t="s">
        <v>213</v>
      </c>
      <c r="O62" s="198" t="s">
        <v>213</v>
      </c>
      <c r="P62" s="198" t="s">
        <v>189</v>
      </c>
      <c r="Q62" s="205" t="str">
        <f>'AI (Maturity Eval)'!AW62</f>
        <v>N</v>
      </c>
      <c r="R62" s="198" t="s">
        <v>211</v>
      </c>
      <c r="S62" s="198" t="s">
        <v>211</v>
      </c>
      <c r="T62" s="198" t="s">
        <v>189</v>
      </c>
      <c r="U62" s="198" t="s">
        <v>211</v>
      </c>
      <c r="V62" s="198" t="s">
        <v>189</v>
      </c>
      <c r="W62" s="198" t="s">
        <v>189</v>
      </c>
      <c r="X62" s="315"/>
    </row>
    <row r="63" spans="2:24" ht="20.25" customHeight="1">
      <c r="B63" s="163"/>
      <c r="C63" s="19"/>
      <c r="D63" s="164"/>
      <c r="E63" s="164"/>
      <c r="F63" s="164"/>
      <c r="G63" s="165"/>
      <c r="H63" s="159"/>
      <c r="I63" s="159"/>
      <c r="J63" s="159"/>
      <c r="K63" s="159"/>
      <c r="L63" s="159"/>
      <c r="M63" s="160"/>
      <c r="N63" s="161"/>
      <c r="O63" s="161"/>
      <c r="P63" s="161"/>
      <c r="Q63" s="161"/>
      <c r="R63" s="161"/>
      <c r="S63" s="161"/>
      <c r="T63" s="161"/>
      <c r="U63" s="161"/>
      <c r="V63" s="161"/>
    </row>
    <row r="64" spans="2:24">
      <c r="V64" s="161"/>
    </row>
  </sheetData>
  <autoFilter ref="B12:N61" xr:uid="{6C337716-33EC-C94E-B8C7-2A7D9647C4FB}">
    <filterColumn colId="2" showButton="0"/>
    <filterColumn colId="3" showButton="0"/>
    <filterColumn colId="4" showButton="0"/>
    <filterColumn colId="6" showButton="0"/>
    <filterColumn colId="7" showButton="0"/>
    <filterColumn colId="8" hiddenButton="1" showButton="0"/>
    <filterColumn colId="9" hiddenButton="1" showButton="0"/>
    <filterColumn colId="10" showButton="0"/>
    <filterColumn colId="11" showButton="0"/>
    <sortState xmlns:xlrd2="http://schemas.microsoft.com/office/spreadsheetml/2017/richdata2" ref="B13:N61">
      <sortCondition ref="B12:B61"/>
    </sortState>
  </autoFilter>
  <dataConsolidate/>
  <mergeCells count="24">
    <mergeCell ref="D12:G12"/>
    <mergeCell ref="N10:N11"/>
    <mergeCell ref="M10:M11"/>
    <mergeCell ref="H12:X12"/>
    <mergeCell ref="J10:J11"/>
    <mergeCell ref="K10:K11"/>
    <mergeCell ref="T10:T11"/>
    <mergeCell ref="U10:U11"/>
    <mergeCell ref="H2:X2"/>
    <mergeCell ref="C9:G9"/>
    <mergeCell ref="B11:C11"/>
    <mergeCell ref="H10:H11"/>
    <mergeCell ref="I10:I11"/>
    <mergeCell ref="L10:L11"/>
    <mergeCell ref="B10:C10"/>
    <mergeCell ref="D10:G10"/>
    <mergeCell ref="V10:V11"/>
    <mergeCell ref="W10:W11"/>
    <mergeCell ref="X10:X11"/>
    <mergeCell ref="O10:O11"/>
    <mergeCell ref="P10:P11"/>
    <mergeCell ref="Q10:Q11"/>
    <mergeCell ref="R10:R11"/>
    <mergeCell ref="S10:S11"/>
  </mergeCells>
  <conditionalFormatting sqref="G69">
    <cfRule type="colorScale" priority="659752">
      <colorScale>
        <cfvo type="min"/>
        <cfvo type="percentile" val="50"/>
        <cfvo type="max"/>
        <color rgb="FFF8696B"/>
        <color rgb="FFFFEB84"/>
        <color rgb="FF63BE7B"/>
      </colorScale>
    </cfRule>
  </conditionalFormatting>
  <conditionalFormatting sqref="H3:T8">
    <cfRule type="cellIs" dxfId="3421" priority="54562" operator="lessThanOrEqual">
      <formula>0.75</formula>
    </cfRule>
  </conditionalFormatting>
  <conditionalFormatting sqref="U3:U8">
    <cfRule type="cellIs" dxfId="3420" priority="26576" operator="lessThanOrEqual">
      <formula>0.75</formula>
    </cfRule>
  </conditionalFormatting>
  <conditionalFormatting sqref="V3:V8">
    <cfRule type="cellIs" dxfId="3419" priority="3607" operator="lessThanOrEqual">
      <formula>0.75</formula>
    </cfRule>
  </conditionalFormatting>
  <conditionalFormatting sqref="W3:W8">
    <cfRule type="cellIs" dxfId="3418" priority="3606" operator="lessThanOrEqual">
      <formula>0.75</formula>
    </cfRule>
  </conditionalFormatting>
  <conditionalFormatting sqref="X3:X8">
    <cfRule type="cellIs" dxfId="3417" priority="3605" operator="lessThanOrEqual">
      <formula>0.75</formula>
    </cfRule>
  </conditionalFormatting>
  <conditionalFormatting sqref="H13">
    <cfRule type="expression" dxfId="3416" priority="3602" stopIfTrue="1">
      <formula>IF(OR(H13="Y",H13="y",H13="Partial",H13="partial"),TRUE,FALSE)=FALSE</formula>
    </cfRule>
    <cfRule type="expression" dxfId="3415" priority="3603" stopIfTrue="1">
      <formula>IF(OR(H13="Partial",H13="partial"),TRUE,FALSE)=TRUE</formula>
    </cfRule>
    <cfRule type="expression" dxfId="3414" priority="3604" stopIfTrue="1">
      <formula>IF(OR(H13="Y",H13="y"),TRUE,FALSE)=TRUE</formula>
    </cfRule>
  </conditionalFormatting>
  <conditionalFormatting sqref="H13">
    <cfRule type="cellIs" dxfId="3413" priority="3601" stopIfTrue="1" operator="equal">
      <formula>"N/A"</formula>
    </cfRule>
  </conditionalFormatting>
  <conditionalFormatting sqref="I13">
    <cfRule type="expression" dxfId="3412" priority="3598" stopIfTrue="1">
      <formula>IF(OR(I13="Y",I13="y",I13="Partial",I13="partial"),TRUE,FALSE)=FALSE</formula>
    </cfRule>
    <cfRule type="expression" dxfId="3411" priority="3599" stopIfTrue="1">
      <formula>IF(OR(I13="Partial",I13="partial"),TRUE,FALSE)=TRUE</formula>
    </cfRule>
    <cfRule type="expression" dxfId="3410" priority="3600" stopIfTrue="1">
      <formula>IF(OR(I13="Y",I13="y"),TRUE,FALSE)=TRUE</formula>
    </cfRule>
  </conditionalFormatting>
  <conditionalFormatting sqref="I13">
    <cfRule type="cellIs" dxfId="3409" priority="3597" stopIfTrue="1" operator="equal">
      <formula>"N/A"</formula>
    </cfRule>
  </conditionalFormatting>
  <conditionalFormatting sqref="J13">
    <cfRule type="expression" dxfId="3408" priority="3594" stopIfTrue="1">
      <formula>IF(OR(J13="Y",J13="y",J13="Partial",J13="partial"),TRUE,FALSE)=FALSE</formula>
    </cfRule>
    <cfRule type="expression" dxfId="3407" priority="3595" stopIfTrue="1">
      <formula>IF(OR(J13="Partial",J13="partial"),TRUE,FALSE)=TRUE</formula>
    </cfRule>
    <cfRule type="expression" dxfId="3406" priority="3596" stopIfTrue="1">
      <formula>IF(OR(J13="Y",J13="y"),TRUE,FALSE)=TRUE</formula>
    </cfRule>
  </conditionalFormatting>
  <conditionalFormatting sqref="J13">
    <cfRule type="cellIs" dxfId="3405" priority="3593" stopIfTrue="1" operator="equal">
      <formula>"N/A"</formula>
    </cfRule>
  </conditionalFormatting>
  <conditionalFormatting sqref="K13">
    <cfRule type="expression" dxfId="3404" priority="3590" stopIfTrue="1">
      <formula>IF(OR(K13="Y",K13="y",K13="Partial",K13="partial"),TRUE,FALSE)=FALSE</formula>
    </cfRule>
    <cfRule type="expression" dxfId="3403" priority="3591" stopIfTrue="1">
      <formula>IF(OR(K13="Partial",K13="partial"),TRUE,FALSE)=TRUE</formula>
    </cfRule>
    <cfRule type="expression" dxfId="3402" priority="3592" stopIfTrue="1">
      <formula>IF(OR(K13="Y",K13="y"),TRUE,FALSE)=TRUE</formula>
    </cfRule>
  </conditionalFormatting>
  <conditionalFormatting sqref="K13">
    <cfRule type="cellIs" dxfId="3401" priority="3589" stopIfTrue="1" operator="equal">
      <formula>"N/A"</formula>
    </cfRule>
  </conditionalFormatting>
  <conditionalFormatting sqref="L13">
    <cfRule type="expression" dxfId="3400" priority="3586" stopIfTrue="1">
      <formula>IF(OR(L13="Y",L13="y",L13="Partial",L13="partial"),TRUE,FALSE)=FALSE</formula>
    </cfRule>
    <cfRule type="expression" dxfId="3399" priority="3587" stopIfTrue="1">
      <formula>IF(OR(L13="Partial",L13="partial"),TRUE,FALSE)=TRUE</formula>
    </cfRule>
    <cfRule type="expression" dxfId="3398" priority="3588" stopIfTrue="1">
      <formula>IF(OR(L13="Y",L13="y"),TRUE,FALSE)=TRUE</formula>
    </cfRule>
  </conditionalFormatting>
  <conditionalFormatting sqref="L13">
    <cfRule type="cellIs" dxfId="3397" priority="3585" stopIfTrue="1" operator="equal">
      <formula>"N/A"</formula>
    </cfRule>
  </conditionalFormatting>
  <conditionalFormatting sqref="M13">
    <cfRule type="expression" dxfId="3396" priority="3582" stopIfTrue="1">
      <formula>IF(OR(M13="Y",M13="y",M13="Partial",M13="partial"),TRUE,FALSE)=FALSE</formula>
    </cfRule>
    <cfRule type="expression" dxfId="3395" priority="3583" stopIfTrue="1">
      <formula>IF(OR(M13="Partial",M13="partial"),TRUE,FALSE)=TRUE</formula>
    </cfRule>
    <cfRule type="expression" dxfId="3394" priority="3584" stopIfTrue="1">
      <formula>IF(OR(M13="Y",M13="y"),TRUE,FALSE)=TRUE</formula>
    </cfRule>
  </conditionalFormatting>
  <conditionalFormatting sqref="M13">
    <cfRule type="cellIs" dxfId="3393" priority="3581" stopIfTrue="1" operator="equal">
      <formula>"N/A"</formula>
    </cfRule>
  </conditionalFormatting>
  <conditionalFormatting sqref="N13">
    <cfRule type="expression" dxfId="3392" priority="3578" stopIfTrue="1">
      <formula>IF(OR(N13="Y",N13="y",N13="Partial",N13="partial"),TRUE,FALSE)=FALSE</formula>
    </cfRule>
    <cfRule type="expression" dxfId="3391" priority="3579" stopIfTrue="1">
      <formula>IF(OR(N13="Partial",N13="partial"),TRUE,FALSE)=TRUE</formula>
    </cfRule>
    <cfRule type="expression" dxfId="3390" priority="3580" stopIfTrue="1">
      <formula>IF(OR(N13="Y",N13="y"),TRUE,FALSE)=TRUE</formula>
    </cfRule>
  </conditionalFormatting>
  <conditionalFormatting sqref="N13">
    <cfRule type="cellIs" dxfId="3389" priority="3577" stopIfTrue="1" operator="equal">
      <formula>"N/A"</formula>
    </cfRule>
  </conditionalFormatting>
  <conditionalFormatting sqref="O13">
    <cfRule type="expression" dxfId="3388" priority="3574" stopIfTrue="1">
      <formula>IF(OR(O13="Y",O13="y",O13="Partial",O13="partial"),TRUE,FALSE)=FALSE</formula>
    </cfRule>
    <cfRule type="expression" dxfId="3387" priority="3575" stopIfTrue="1">
      <formula>IF(OR(O13="Partial",O13="partial"),TRUE,FALSE)=TRUE</formula>
    </cfRule>
    <cfRule type="expression" dxfId="3386" priority="3576" stopIfTrue="1">
      <formula>IF(OR(O13="Y",O13="y"),TRUE,FALSE)=TRUE</formula>
    </cfRule>
  </conditionalFormatting>
  <conditionalFormatting sqref="O13">
    <cfRule type="cellIs" dxfId="3385" priority="3573" stopIfTrue="1" operator="equal">
      <formula>"N/A"</formula>
    </cfRule>
  </conditionalFormatting>
  <conditionalFormatting sqref="P13">
    <cfRule type="expression" dxfId="3384" priority="3570" stopIfTrue="1">
      <formula>IF(OR(P13="Y",P13="y",P13="Partial",P13="partial"),TRUE,FALSE)=FALSE</formula>
    </cfRule>
    <cfRule type="expression" dxfId="3383" priority="3571" stopIfTrue="1">
      <formula>IF(OR(P13="Partial",P13="partial"),TRUE,FALSE)=TRUE</formula>
    </cfRule>
    <cfRule type="expression" dxfId="3382" priority="3572" stopIfTrue="1">
      <formula>IF(OR(P13="Y",P13="y"),TRUE,FALSE)=TRUE</formula>
    </cfRule>
  </conditionalFormatting>
  <conditionalFormatting sqref="P13">
    <cfRule type="cellIs" dxfId="3381" priority="3569" stopIfTrue="1" operator="equal">
      <formula>"N/A"</formula>
    </cfRule>
  </conditionalFormatting>
  <conditionalFormatting sqref="Q13:Q62">
    <cfRule type="expression" dxfId="3380" priority="3566" stopIfTrue="1">
      <formula>IF(OR(Q13="Y",Q13="y",Q13="Partial",Q13="partial"),TRUE,FALSE)=FALSE</formula>
    </cfRule>
    <cfRule type="expression" dxfId="3379" priority="3567" stopIfTrue="1">
      <formula>IF(OR(Q13="Partial",Q13="partial"),TRUE,FALSE)=TRUE</formula>
    </cfRule>
    <cfRule type="expression" dxfId="3378" priority="3568" stopIfTrue="1">
      <formula>IF(OR(Q13="Y",Q13="y"),TRUE,FALSE)=TRUE</formula>
    </cfRule>
  </conditionalFormatting>
  <conditionalFormatting sqref="Q13:Q62">
    <cfRule type="cellIs" dxfId="3377" priority="3565" stopIfTrue="1" operator="equal">
      <formula>"N/A"</formula>
    </cfRule>
  </conditionalFormatting>
  <conditionalFormatting sqref="R13">
    <cfRule type="expression" dxfId="3376" priority="3562" stopIfTrue="1">
      <formula>IF(OR(R13="Y",R13="y",R13="Partial",R13="partial"),TRUE,FALSE)=FALSE</formula>
    </cfRule>
    <cfRule type="expression" dxfId="3375" priority="3563" stopIfTrue="1">
      <formula>IF(OR(R13="Partial",R13="partial"),TRUE,FALSE)=TRUE</formula>
    </cfRule>
    <cfRule type="expression" dxfId="3374" priority="3564" stopIfTrue="1">
      <formula>IF(OR(R13="Y",R13="y"),TRUE,FALSE)=TRUE</formula>
    </cfRule>
  </conditionalFormatting>
  <conditionalFormatting sqref="R13">
    <cfRule type="cellIs" dxfId="3373" priority="3561" stopIfTrue="1" operator="equal">
      <formula>"N/A"</formula>
    </cfRule>
  </conditionalFormatting>
  <conditionalFormatting sqref="S13">
    <cfRule type="expression" dxfId="3372" priority="3558" stopIfTrue="1">
      <formula>IF(OR(S13="Y",S13="y",S13="Partial",S13="partial"),TRUE,FALSE)=FALSE</formula>
    </cfRule>
    <cfRule type="expression" dxfId="3371" priority="3559" stopIfTrue="1">
      <formula>IF(OR(S13="Partial",S13="partial"),TRUE,FALSE)=TRUE</formula>
    </cfRule>
    <cfRule type="expression" dxfId="3370" priority="3560" stopIfTrue="1">
      <formula>IF(OR(S13="Y",S13="y"),TRUE,FALSE)=TRUE</formula>
    </cfRule>
  </conditionalFormatting>
  <conditionalFormatting sqref="S13">
    <cfRule type="cellIs" dxfId="3369" priority="3557" stopIfTrue="1" operator="equal">
      <formula>"N/A"</formula>
    </cfRule>
  </conditionalFormatting>
  <conditionalFormatting sqref="T13">
    <cfRule type="expression" dxfId="3368" priority="3554" stopIfTrue="1">
      <formula>IF(OR(T13="Y",T13="y",T13="Partial",T13="partial"),TRUE,FALSE)=FALSE</formula>
    </cfRule>
    <cfRule type="expression" dxfId="3367" priority="3555" stopIfTrue="1">
      <formula>IF(OR(T13="Partial",T13="partial"),TRUE,FALSE)=TRUE</formula>
    </cfRule>
    <cfRule type="expression" dxfId="3366" priority="3556" stopIfTrue="1">
      <formula>IF(OR(T13="Y",T13="y"),TRUE,FALSE)=TRUE</formula>
    </cfRule>
  </conditionalFormatting>
  <conditionalFormatting sqref="T13">
    <cfRule type="cellIs" dxfId="3365" priority="3553" stopIfTrue="1" operator="equal">
      <formula>"N/A"</formula>
    </cfRule>
  </conditionalFormatting>
  <conditionalFormatting sqref="U13">
    <cfRule type="expression" dxfId="3364" priority="3550" stopIfTrue="1">
      <formula>IF(OR(U13="Y",U13="y",U13="Partial",U13="partial"),TRUE,FALSE)=FALSE</formula>
    </cfRule>
    <cfRule type="expression" dxfId="3363" priority="3551" stopIfTrue="1">
      <formula>IF(OR(U13="Partial",U13="partial"),TRUE,FALSE)=TRUE</formula>
    </cfRule>
    <cfRule type="expression" dxfId="3362" priority="3552" stopIfTrue="1">
      <formula>IF(OR(U13="Y",U13="y"),TRUE,FALSE)=TRUE</formula>
    </cfRule>
  </conditionalFormatting>
  <conditionalFormatting sqref="U13">
    <cfRule type="cellIs" dxfId="3361" priority="3549" stopIfTrue="1" operator="equal">
      <formula>"N/A"</formula>
    </cfRule>
  </conditionalFormatting>
  <conditionalFormatting sqref="V13">
    <cfRule type="expression" dxfId="3360" priority="3546" stopIfTrue="1">
      <formula>IF(OR(V13="Y",V13="y",V13="Partial",V13="partial"),TRUE,FALSE)=FALSE</formula>
    </cfRule>
    <cfRule type="expression" dxfId="3359" priority="3547" stopIfTrue="1">
      <formula>IF(OR(V13="Partial",V13="partial"),TRUE,FALSE)=TRUE</formula>
    </cfRule>
    <cfRule type="expression" dxfId="3358" priority="3548" stopIfTrue="1">
      <formula>IF(OR(V13="Y",V13="y"),TRUE,FALSE)=TRUE</formula>
    </cfRule>
  </conditionalFormatting>
  <conditionalFormatting sqref="V13">
    <cfRule type="cellIs" dxfId="3357" priority="3545" stopIfTrue="1" operator="equal">
      <formula>"N/A"</formula>
    </cfRule>
  </conditionalFormatting>
  <conditionalFormatting sqref="W13">
    <cfRule type="expression" dxfId="3356" priority="3542" stopIfTrue="1">
      <formula>IF(OR(W13="Y",W13="y",W13="Partial",W13="partial"),TRUE,FALSE)=FALSE</formula>
    </cfRule>
    <cfRule type="expression" dxfId="3355" priority="3543" stopIfTrue="1">
      <formula>IF(OR(W13="Partial",W13="partial"),TRUE,FALSE)=TRUE</formula>
    </cfRule>
    <cfRule type="expression" dxfId="3354" priority="3544" stopIfTrue="1">
      <formula>IF(OR(W13="Y",W13="y"),TRUE,FALSE)=TRUE</formula>
    </cfRule>
  </conditionalFormatting>
  <conditionalFormatting sqref="W13">
    <cfRule type="cellIs" dxfId="3353" priority="3541" stopIfTrue="1" operator="equal">
      <formula>"N/A"</formula>
    </cfRule>
  </conditionalFormatting>
  <conditionalFormatting sqref="X13">
    <cfRule type="expression" dxfId="3352" priority="3538" stopIfTrue="1">
      <formula>IF(OR(X13="Y",X13="y",X13="Partial",X13="partial"),TRUE,FALSE)=FALSE</formula>
    </cfRule>
    <cfRule type="expression" dxfId="3351" priority="3539" stopIfTrue="1">
      <formula>IF(OR(X13="Partial",X13="partial"),TRUE,FALSE)=TRUE</formula>
    </cfRule>
    <cfRule type="expression" dxfId="3350" priority="3540" stopIfTrue="1">
      <formula>IF(OR(X13="Y",X13="y"),TRUE,FALSE)=TRUE</formula>
    </cfRule>
  </conditionalFormatting>
  <conditionalFormatting sqref="X13">
    <cfRule type="cellIs" dxfId="3349" priority="3537" stopIfTrue="1" operator="equal">
      <formula>"N/A"</formula>
    </cfRule>
  </conditionalFormatting>
  <conditionalFormatting sqref="H14">
    <cfRule type="expression" dxfId="3348" priority="3534" stopIfTrue="1">
      <formula>IF(OR(H14="Y",H14="y",H14="Partial",H14="partial"),TRUE,FALSE)=FALSE</formula>
    </cfRule>
    <cfRule type="expression" dxfId="3347" priority="3535" stopIfTrue="1">
      <formula>IF(OR(H14="Partial",H14="partial"),TRUE,FALSE)=TRUE</formula>
    </cfRule>
    <cfRule type="expression" dxfId="3346" priority="3536" stopIfTrue="1">
      <formula>IF(OR(H14="Y",H14="y"),TRUE,FALSE)=TRUE</formula>
    </cfRule>
  </conditionalFormatting>
  <conditionalFormatting sqref="H14">
    <cfRule type="cellIs" dxfId="3345" priority="3533" stopIfTrue="1" operator="equal">
      <formula>"N/A"</formula>
    </cfRule>
  </conditionalFormatting>
  <conditionalFormatting sqref="I14">
    <cfRule type="expression" dxfId="3344" priority="3530" stopIfTrue="1">
      <formula>IF(OR(I14="Y",I14="y",I14="Partial",I14="partial"),TRUE,FALSE)=FALSE</formula>
    </cfRule>
    <cfRule type="expression" dxfId="3343" priority="3531" stopIfTrue="1">
      <formula>IF(OR(I14="Partial",I14="partial"),TRUE,FALSE)=TRUE</formula>
    </cfRule>
    <cfRule type="expression" dxfId="3342" priority="3532" stopIfTrue="1">
      <formula>IF(OR(I14="Y",I14="y"),TRUE,FALSE)=TRUE</formula>
    </cfRule>
  </conditionalFormatting>
  <conditionalFormatting sqref="I14">
    <cfRule type="cellIs" dxfId="3341" priority="3529" stopIfTrue="1" operator="equal">
      <formula>"N/A"</formula>
    </cfRule>
  </conditionalFormatting>
  <conditionalFormatting sqref="J14">
    <cfRule type="expression" dxfId="3340" priority="3526" stopIfTrue="1">
      <formula>IF(OR(J14="Y",J14="y",J14="Partial",J14="partial"),TRUE,FALSE)=FALSE</formula>
    </cfRule>
    <cfRule type="expression" dxfId="3339" priority="3527" stopIfTrue="1">
      <formula>IF(OR(J14="Partial",J14="partial"),TRUE,FALSE)=TRUE</formula>
    </cfRule>
    <cfRule type="expression" dxfId="3338" priority="3528" stopIfTrue="1">
      <formula>IF(OR(J14="Y",J14="y"),TRUE,FALSE)=TRUE</formula>
    </cfRule>
  </conditionalFormatting>
  <conditionalFormatting sqref="J14">
    <cfRule type="cellIs" dxfId="3337" priority="3525" stopIfTrue="1" operator="equal">
      <formula>"N/A"</formula>
    </cfRule>
  </conditionalFormatting>
  <conditionalFormatting sqref="K14">
    <cfRule type="expression" dxfId="3336" priority="3522" stopIfTrue="1">
      <formula>IF(OR(K14="Y",K14="y",K14="Partial",K14="partial"),TRUE,FALSE)=FALSE</formula>
    </cfRule>
    <cfRule type="expression" dxfId="3335" priority="3523" stopIfTrue="1">
      <formula>IF(OR(K14="Partial",K14="partial"),TRUE,FALSE)=TRUE</formula>
    </cfRule>
    <cfRule type="expression" dxfId="3334" priority="3524" stopIfTrue="1">
      <formula>IF(OR(K14="Y",K14="y"),TRUE,FALSE)=TRUE</formula>
    </cfRule>
  </conditionalFormatting>
  <conditionalFormatting sqref="K14">
    <cfRule type="cellIs" dxfId="3333" priority="3521" stopIfTrue="1" operator="equal">
      <formula>"N/A"</formula>
    </cfRule>
  </conditionalFormatting>
  <conditionalFormatting sqref="L14">
    <cfRule type="expression" dxfId="3332" priority="3518" stopIfTrue="1">
      <formula>IF(OR(L14="Y",L14="y",L14="Partial",L14="partial"),TRUE,FALSE)=FALSE</formula>
    </cfRule>
    <cfRule type="expression" dxfId="3331" priority="3519" stopIfTrue="1">
      <formula>IF(OR(L14="Partial",L14="partial"),TRUE,FALSE)=TRUE</formula>
    </cfRule>
    <cfRule type="expression" dxfId="3330" priority="3520" stopIfTrue="1">
      <formula>IF(OR(L14="Y",L14="y"),TRUE,FALSE)=TRUE</formula>
    </cfRule>
  </conditionalFormatting>
  <conditionalFormatting sqref="L14">
    <cfRule type="cellIs" dxfId="3329" priority="3517" stopIfTrue="1" operator="equal">
      <formula>"N/A"</formula>
    </cfRule>
  </conditionalFormatting>
  <conditionalFormatting sqref="M14">
    <cfRule type="expression" dxfId="3328" priority="3514" stopIfTrue="1">
      <formula>IF(OR(M14="Y",M14="y",M14="Partial",M14="partial"),TRUE,FALSE)=FALSE</formula>
    </cfRule>
    <cfRule type="expression" dxfId="3327" priority="3515" stopIfTrue="1">
      <formula>IF(OR(M14="Partial",M14="partial"),TRUE,FALSE)=TRUE</formula>
    </cfRule>
    <cfRule type="expression" dxfId="3326" priority="3516" stopIfTrue="1">
      <formula>IF(OR(M14="Y",M14="y"),TRUE,FALSE)=TRUE</formula>
    </cfRule>
  </conditionalFormatting>
  <conditionalFormatting sqref="M14">
    <cfRule type="cellIs" dxfId="3325" priority="3513" stopIfTrue="1" operator="equal">
      <formula>"N/A"</formula>
    </cfRule>
  </conditionalFormatting>
  <conditionalFormatting sqref="N14">
    <cfRule type="expression" dxfId="3324" priority="3510" stopIfTrue="1">
      <formula>IF(OR(N14="Y",N14="y",N14="Partial",N14="partial"),TRUE,FALSE)=FALSE</formula>
    </cfRule>
    <cfRule type="expression" dxfId="3323" priority="3511" stopIfTrue="1">
      <formula>IF(OR(N14="Partial",N14="partial"),TRUE,FALSE)=TRUE</formula>
    </cfRule>
    <cfRule type="expression" dxfId="3322" priority="3512" stopIfTrue="1">
      <formula>IF(OR(N14="Y",N14="y"),TRUE,FALSE)=TRUE</formula>
    </cfRule>
  </conditionalFormatting>
  <conditionalFormatting sqref="N14">
    <cfRule type="cellIs" dxfId="3321" priority="3509" stopIfTrue="1" operator="equal">
      <formula>"N/A"</formula>
    </cfRule>
  </conditionalFormatting>
  <conditionalFormatting sqref="O14">
    <cfRule type="expression" dxfId="3320" priority="3506" stopIfTrue="1">
      <formula>IF(OR(O14="Y",O14="y",O14="Partial",O14="partial"),TRUE,FALSE)=FALSE</formula>
    </cfRule>
    <cfRule type="expression" dxfId="3319" priority="3507" stopIfTrue="1">
      <formula>IF(OR(O14="Partial",O14="partial"),TRUE,FALSE)=TRUE</formula>
    </cfRule>
    <cfRule type="expression" dxfId="3318" priority="3508" stopIfTrue="1">
      <formula>IF(OR(O14="Y",O14="y"),TRUE,FALSE)=TRUE</formula>
    </cfRule>
  </conditionalFormatting>
  <conditionalFormatting sqref="O14">
    <cfRule type="cellIs" dxfId="3317" priority="3505" stopIfTrue="1" operator="equal">
      <formula>"N/A"</formula>
    </cfRule>
  </conditionalFormatting>
  <conditionalFormatting sqref="P14">
    <cfRule type="expression" dxfId="3316" priority="3502" stopIfTrue="1">
      <formula>IF(OR(P14="Y",P14="y",P14="Partial",P14="partial"),TRUE,FALSE)=FALSE</formula>
    </cfRule>
    <cfRule type="expression" dxfId="3315" priority="3503" stopIfTrue="1">
      <formula>IF(OR(P14="Partial",P14="partial"),TRUE,FALSE)=TRUE</formula>
    </cfRule>
    <cfRule type="expression" dxfId="3314" priority="3504" stopIfTrue="1">
      <formula>IF(OR(P14="Y",P14="y"),TRUE,FALSE)=TRUE</formula>
    </cfRule>
  </conditionalFormatting>
  <conditionalFormatting sqref="P14">
    <cfRule type="cellIs" dxfId="3313" priority="3501" stopIfTrue="1" operator="equal">
      <formula>"N/A"</formula>
    </cfRule>
  </conditionalFormatting>
  <conditionalFormatting sqref="R14">
    <cfRule type="expression" dxfId="3312" priority="3494" stopIfTrue="1">
      <formula>IF(OR(R14="Y",R14="y",R14="Partial",R14="partial"),TRUE,FALSE)=FALSE</formula>
    </cfRule>
    <cfRule type="expression" dxfId="3311" priority="3495" stopIfTrue="1">
      <formula>IF(OR(R14="Partial",R14="partial"),TRUE,FALSE)=TRUE</formula>
    </cfRule>
    <cfRule type="expression" dxfId="3310" priority="3496" stopIfTrue="1">
      <formula>IF(OR(R14="Y",R14="y"),TRUE,FALSE)=TRUE</formula>
    </cfRule>
  </conditionalFormatting>
  <conditionalFormatting sqref="R14">
    <cfRule type="cellIs" dxfId="3309" priority="3493" stopIfTrue="1" operator="equal">
      <formula>"N/A"</formula>
    </cfRule>
  </conditionalFormatting>
  <conditionalFormatting sqref="S14">
    <cfRule type="expression" dxfId="3308" priority="3490" stopIfTrue="1">
      <formula>IF(OR(S14="Y",S14="y",S14="Partial",S14="partial"),TRUE,FALSE)=FALSE</formula>
    </cfRule>
    <cfRule type="expression" dxfId="3307" priority="3491" stopIfTrue="1">
      <formula>IF(OR(S14="Partial",S14="partial"),TRUE,FALSE)=TRUE</formula>
    </cfRule>
    <cfRule type="expression" dxfId="3306" priority="3492" stopIfTrue="1">
      <formula>IF(OR(S14="Y",S14="y"),TRUE,FALSE)=TRUE</formula>
    </cfRule>
  </conditionalFormatting>
  <conditionalFormatting sqref="S14">
    <cfRule type="cellIs" dxfId="3305" priority="3489" stopIfTrue="1" operator="equal">
      <formula>"N/A"</formula>
    </cfRule>
  </conditionalFormatting>
  <conditionalFormatting sqref="T14">
    <cfRule type="expression" dxfId="3304" priority="3486" stopIfTrue="1">
      <formula>IF(OR(T14="Y",T14="y",T14="Partial",T14="partial"),TRUE,FALSE)=FALSE</formula>
    </cfRule>
    <cfRule type="expression" dxfId="3303" priority="3487" stopIfTrue="1">
      <formula>IF(OR(T14="Partial",T14="partial"),TRUE,FALSE)=TRUE</formula>
    </cfRule>
    <cfRule type="expression" dxfId="3302" priority="3488" stopIfTrue="1">
      <formula>IF(OR(T14="Y",T14="y"),TRUE,FALSE)=TRUE</formula>
    </cfRule>
  </conditionalFormatting>
  <conditionalFormatting sqref="T14">
    <cfRule type="cellIs" dxfId="3301" priority="3485" stopIfTrue="1" operator="equal">
      <formula>"N/A"</formula>
    </cfRule>
  </conditionalFormatting>
  <conditionalFormatting sqref="U14">
    <cfRule type="expression" dxfId="3300" priority="3482" stopIfTrue="1">
      <formula>IF(OR(U14="Y",U14="y",U14="Partial",U14="partial"),TRUE,FALSE)=FALSE</formula>
    </cfRule>
    <cfRule type="expression" dxfId="3299" priority="3483" stopIfTrue="1">
      <formula>IF(OR(U14="Partial",U14="partial"),TRUE,FALSE)=TRUE</formula>
    </cfRule>
    <cfRule type="expression" dxfId="3298" priority="3484" stopIfTrue="1">
      <formula>IF(OR(U14="Y",U14="y"),TRUE,FALSE)=TRUE</formula>
    </cfRule>
  </conditionalFormatting>
  <conditionalFormatting sqref="U14">
    <cfRule type="cellIs" dxfId="3297" priority="3481" stopIfTrue="1" operator="equal">
      <formula>"N/A"</formula>
    </cfRule>
  </conditionalFormatting>
  <conditionalFormatting sqref="V14">
    <cfRule type="expression" dxfId="3296" priority="3478" stopIfTrue="1">
      <formula>IF(OR(V14="Y",V14="y",V14="Partial",V14="partial"),TRUE,FALSE)=FALSE</formula>
    </cfRule>
    <cfRule type="expression" dxfId="3295" priority="3479" stopIfTrue="1">
      <formula>IF(OR(V14="Partial",V14="partial"),TRUE,FALSE)=TRUE</formula>
    </cfRule>
    <cfRule type="expression" dxfId="3294" priority="3480" stopIfTrue="1">
      <formula>IF(OR(V14="Y",V14="y"),TRUE,FALSE)=TRUE</formula>
    </cfRule>
  </conditionalFormatting>
  <conditionalFormatting sqref="V14">
    <cfRule type="cellIs" dxfId="3293" priority="3477" stopIfTrue="1" operator="equal">
      <formula>"N/A"</formula>
    </cfRule>
  </conditionalFormatting>
  <conditionalFormatting sqref="W14">
    <cfRule type="expression" dxfId="3292" priority="3474" stopIfTrue="1">
      <formula>IF(OR(W14="Y",W14="y",W14="Partial",W14="partial"),TRUE,FALSE)=FALSE</formula>
    </cfRule>
    <cfRule type="expression" dxfId="3291" priority="3475" stopIfTrue="1">
      <formula>IF(OR(W14="Partial",W14="partial"),TRUE,FALSE)=TRUE</formula>
    </cfRule>
    <cfRule type="expression" dxfId="3290" priority="3476" stopIfTrue="1">
      <formula>IF(OR(W14="Y",W14="y"),TRUE,FALSE)=TRUE</formula>
    </cfRule>
  </conditionalFormatting>
  <conditionalFormatting sqref="W14">
    <cfRule type="cellIs" dxfId="3289" priority="3473" stopIfTrue="1" operator="equal">
      <formula>"N/A"</formula>
    </cfRule>
  </conditionalFormatting>
  <conditionalFormatting sqref="X14">
    <cfRule type="expression" dxfId="3288" priority="3470" stopIfTrue="1">
      <formula>IF(OR(X14="Y",X14="y",X14="Partial",X14="partial"),TRUE,FALSE)=FALSE</formula>
    </cfRule>
    <cfRule type="expression" dxfId="3287" priority="3471" stopIfTrue="1">
      <formula>IF(OR(X14="Partial",X14="partial"),TRUE,FALSE)=TRUE</formula>
    </cfRule>
    <cfRule type="expression" dxfId="3286" priority="3472" stopIfTrue="1">
      <formula>IF(OR(X14="Y",X14="y"),TRUE,FALSE)=TRUE</formula>
    </cfRule>
  </conditionalFormatting>
  <conditionalFormatting sqref="X14">
    <cfRule type="cellIs" dxfId="3285" priority="3469" stopIfTrue="1" operator="equal">
      <formula>"N/A"</formula>
    </cfRule>
  </conditionalFormatting>
  <conditionalFormatting sqref="H15">
    <cfRule type="expression" dxfId="3284" priority="3466" stopIfTrue="1">
      <formula>IF(OR(H15="Y",H15="y",H15="Partial",H15="partial"),TRUE,FALSE)=FALSE</formula>
    </cfRule>
    <cfRule type="expression" dxfId="3283" priority="3467" stopIfTrue="1">
      <formula>IF(OR(H15="Partial",H15="partial"),TRUE,FALSE)=TRUE</formula>
    </cfRule>
    <cfRule type="expression" dxfId="3282" priority="3468" stopIfTrue="1">
      <formula>IF(OR(H15="Y",H15="y"),TRUE,FALSE)=TRUE</formula>
    </cfRule>
  </conditionalFormatting>
  <conditionalFormatting sqref="H15">
    <cfRule type="cellIs" dxfId="3281" priority="3465" stopIfTrue="1" operator="equal">
      <formula>"N/A"</formula>
    </cfRule>
  </conditionalFormatting>
  <conditionalFormatting sqref="I15">
    <cfRule type="expression" dxfId="3280" priority="3462" stopIfTrue="1">
      <formula>IF(OR(I15="Y",I15="y",I15="Partial",I15="partial"),TRUE,FALSE)=FALSE</formula>
    </cfRule>
    <cfRule type="expression" dxfId="3279" priority="3463" stopIfTrue="1">
      <formula>IF(OR(I15="Partial",I15="partial"),TRUE,FALSE)=TRUE</formula>
    </cfRule>
    <cfRule type="expression" dxfId="3278" priority="3464" stopIfTrue="1">
      <formula>IF(OR(I15="Y",I15="y"),TRUE,FALSE)=TRUE</formula>
    </cfRule>
  </conditionalFormatting>
  <conditionalFormatting sqref="I15">
    <cfRule type="cellIs" dxfId="3277" priority="3461" stopIfTrue="1" operator="equal">
      <formula>"N/A"</formula>
    </cfRule>
  </conditionalFormatting>
  <conditionalFormatting sqref="J15">
    <cfRule type="expression" dxfId="3276" priority="3458" stopIfTrue="1">
      <formula>IF(OR(J15="Y",J15="y",J15="Partial",J15="partial"),TRUE,FALSE)=FALSE</formula>
    </cfRule>
    <cfRule type="expression" dxfId="3275" priority="3459" stopIfTrue="1">
      <formula>IF(OR(J15="Partial",J15="partial"),TRUE,FALSE)=TRUE</formula>
    </cfRule>
    <cfRule type="expression" dxfId="3274" priority="3460" stopIfTrue="1">
      <formula>IF(OR(J15="Y",J15="y"),TRUE,FALSE)=TRUE</formula>
    </cfRule>
  </conditionalFormatting>
  <conditionalFormatting sqref="J15">
    <cfRule type="cellIs" dxfId="3273" priority="3457" stopIfTrue="1" operator="equal">
      <formula>"N/A"</formula>
    </cfRule>
  </conditionalFormatting>
  <conditionalFormatting sqref="K15">
    <cfRule type="expression" dxfId="3272" priority="3454" stopIfTrue="1">
      <formula>IF(OR(K15="Y",K15="y",K15="Partial",K15="partial"),TRUE,FALSE)=FALSE</formula>
    </cfRule>
    <cfRule type="expression" dxfId="3271" priority="3455" stopIfTrue="1">
      <formula>IF(OR(K15="Partial",K15="partial"),TRUE,FALSE)=TRUE</formula>
    </cfRule>
    <cfRule type="expression" dxfId="3270" priority="3456" stopIfTrue="1">
      <formula>IF(OR(K15="Y",K15="y"),TRUE,FALSE)=TRUE</formula>
    </cfRule>
  </conditionalFormatting>
  <conditionalFormatting sqref="K15">
    <cfRule type="cellIs" dxfId="3269" priority="3453" stopIfTrue="1" operator="equal">
      <formula>"N/A"</formula>
    </cfRule>
  </conditionalFormatting>
  <conditionalFormatting sqref="L15">
    <cfRule type="expression" dxfId="3268" priority="3450" stopIfTrue="1">
      <formula>IF(OR(L15="Y",L15="y",L15="Partial",L15="partial"),TRUE,FALSE)=FALSE</formula>
    </cfRule>
    <cfRule type="expression" dxfId="3267" priority="3451" stopIfTrue="1">
      <formula>IF(OR(L15="Partial",L15="partial"),TRUE,FALSE)=TRUE</formula>
    </cfRule>
    <cfRule type="expression" dxfId="3266" priority="3452" stopIfTrue="1">
      <formula>IF(OR(L15="Y",L15="y"),TRUE,FALSE)=TRUE</formula>
    </cfRule>
  </conditionalFormatting>
  <conditionalFormatting sqref="L15">
    <cfRule type="cellIs" dxfId="3265" priority="3449" stopIfTrue="1" operator="equal">
      <formula>"N/A"</formula>
    </cfRule>
  </conditionalFormatting>
  <conditionalFormatting sqref="M15">
    <cfRule type="expression" dxfId="3264" priority="3446" stopIfTrue="1">
      <formula>IF(OR(M15="Y",M15="y",M15="Partial",M15="partial"),TRUE,FALSE)=FALSE</formula>
    </cfRule>
    <cfRule type="expression" dxfId="3263" priority="3447" stopIfTrue="1">
      <formula>IF(OR(M15="Partial",M15="partial"),TRUE,FALSE)=TRUE</formula>
    </cfRule>
    <cfRule type="expression" dxfId="3262" priority="3448" stopIfTrue="1">
      <formula>IF(OR(M15="Y",M15="y"),TRUE,FALSE)=TRUE</formula>
    </cfRule>
  </conditionalFormatting>
  <conditionalFormatting sqref="M15">
    <cfRule type="cellIs" dxfId="3261" priority="3445" stopIfTrue="1" operator="equal">
      <formula>"N/A"</formula>
    </cfRule>
  </conditionalFormatting>
  <conditionalFormatting sqref="N15">
    <cfRule type="expression" dxfId="3260" priority="3442" stopIfTrue="1">
      <formula>IF(OR(N15="Y",N15="y",N15="Partial",N15="partial"),TRUE,FALSE)=FALSE</formula>
    </cfRule>
    <cfRule type="expression" dxfId="3259" priority="3443" stopIfTrue="1">
      <formula>IF(OR(N15="Partial",N15="partial"),TRUE,FALSE)=TRUE</formula>
    </cfRule>
    <cfRule type="expression" dxfId="3258" priority="3444" stopIfTrue="1">
      <formula>IF(OR(N15="Y",N15="y"),TRUE,FALSE)=TRUE</formula>
    </cfRule>
  </conditionalFormatting>
  <conditionalFormatting sqref="N15">
    <cfRule type="cellIs" dxfId="3257" priority="3441" stopIfTrue="1" operator="equal">
      <formula>"N/A"</formula>
    </cfRule>
  </conditionalFormatting>
  <conditionalFormatting sqref="O15">
    <cfRule type="expression" dxfId="3256" priority="3438" stopIfTrue="1">
      <formula>IF(OR(O15="Y",O15="y",O15="Partial",O15="partial"),TRUE,FALSE)=FALSE</formula>
    </cfRule>
    <cfRule type="expression" dxfId="3255" priority="3439" stopIfTrue="1">
      <formula>IF(OR(O15="Partial",O15="partial"),TRUE,FALSE)=TRUE</formula>
    </cfRule>
    <cfRule type="expression" dxfId="3254" priority="3440" stopIfTrue="1">
      <formula>IF(OR(O15="Y",O15="y"),TRUE,FALSE)=TRUE</formula>
    </cfRule>
  </conditionalFormatting>
  <conditionalFormatting sqref="O15">
    <cfRule type="cellIs" dxfId="3253" priority="3437" stopIfTrue="1" operator="equal">
      <formula>"N/A"</formula>
    </cfRule>
  </conditionalFormatting>
  <conditionalFormatting sqref="P15">
    <cfRule type="expression" dxfId="3252" priority="3434" stopIfTrue="1">
      <formula>IF(OR(P15="Y",P15="y",P15="Partial",P15="partial"),TRUE,FALSE)=FALSE</formula>
    </cfRule>
    <cfRule type="expression" dxfId="3251" priority="3435" stopIfTrue="1">
      <formula>IF(OR(P15="Partial",P15="partial"),TRUE,FALSE)=TRUE</formula>
    </cfRule>
    <cfRule type="expression" dxfId="3250" priority="3436" stopIfTrue="1">
      <formula>IF(OR(P15="Y",P15="y"),TRUE,FALSE)=TRUE</formula>
    </cfRule>
  </conditionalFormatting>
  <conditionalFormatting sqref="P15">
    <cfRule type="cellIs" dxfId="3249" priority="3433" stopIfTrue="1" operator="equal">
      <formula>"N/A"</formula>
    </cfRule>
  </conditionalFormatting>
  <conditionalFormatting sqref="R15">
    <cfRule type="expression" dxfId="3248" priority="3426" stopIfTrue="1">
      <formula>IF(OR(R15="Y",R15="y",R15="Partial",R15="partial"),TRUE,FALSE)=FALSE</formula>
    </cfRule>
    <cfRule type="expression" dxfId="3247" priority="3427" stopIfTrue="1">
      <formula>IF(OR(R15="Partial",R15="partial"),TRUE,FALSE)=TRUE</formula>
    </cfRule>
    <cfRule type="expression" dxfId="3246" priority="3428" stopIfTrue="1">
      <formula>IF(OR(R15="Y",R15="y"),TRUE,FALSE)=TRUE</formula>
    </cfRule>
  </conditionalFormatting>
  <conditionalFormatting sqref="R15">
    <cfRule type="cellIs" dxfId="3245" priority="3425" stopIfTrue="1" operator="equal">
      <formula>"N/A"</formula>
    </cfRule>
  </conditionalFormatting>
  <conditionalFormatting sqref="S15">
    <cfRule type="expression" dxfId="3244" priority="3422" stopIfTrue="1">
      <formula>IF(OR(S15="Y",S15="y",S15="Partial",S15="partial"),TRUE,FALSE)=FALSE</formula>
    </cfRule>
    <cfRule type="expression" dxfId="3243" priority="3423" stopIfTrue="1">
      <formula>IF(OR(S15="Partial",S15="partial"),TRUE,FALSE)=TRUE</formula>
    </cfRule>
    <cfRule type="expression" dxfId="3242" priority="3424" stopIfTrue="1">
      <formula>IF(OR(S15="Y",S15="y"),TRUE,FALSE)=TRUE</formula>
    </cfRule>
  </conditionalFormatting>
  <conditionalFormatting sqref="S15">
    <cfRule type="cellIs" dxfId="3241" priority="3421" stopIfTrue="1" operator="equal">
      <formula>"N/A"</formula>
    </cfRule>
  </conditionalFormatting>
  <conditionalFormatting sqref="T15">
    <cfRule type="expression" dxfId="3240" priority="3418" stopIfTrue="1">
      <formula>IF(OR(T15="Y",T15="y",T15="Partial",T15="partial"),TRUE,FALSE)=FALSE</formula>
    </cfRule>
    <cfRule type="expression" dxfId="3239" priority="3419" stopIfTrue="1">
      <formula>IF(OR(T15="Partial",T15="partial"),TRUE,FALSE)=TRUE</formula>
    </cfRule>
    <cfRule type="expression" dxfId="3238" priority="3420" stopIfTrue="1">
      <formula>IF(OR(T15="Y",T15="y"),TRUE,FALSE)=TRUE</formula>
    </cfRule>
  </conditionalFormatting>
  <conditionalFormatting sqref="T15">
    <cfRule type="cellIs" dxfId="3237" priority="3417" stopIfTrue="1" operator="equal">
      <formula>"N/A"</formula>
    </cfRule>
  </conditionalFormatting>
  <conditionalFormatting sqref="U15">
    <cfRule type="expression" dxfId="3236" priority="3414" stopIfTrue="1">
      <formula>IF(OR(U15="Y",U15="y",U15="Partial",U15="partial"),TRUE,FALSE)=FALSE</formula>
    </cfRule>
    <cfRule type="expression" dxfId="3235" priority="3415" stopIfTrue="1">
      <formula>IF(OR(U15="Partial",U15="partial"),TRUE,FALSE)=TRUE</formula>
    </cfRule>
    <cfRule type="expression" dxfId="3234" priority="3416" stopIfTrue="1">
      <formula>IF(OR(U15="Y",U15="y"),TRUE,FALSE)=TRUE</formula>
    </cfRule>
  </conditionalFormatting>
  <conditionalFormatting sqref="U15">
    <cfRule type="cellIs" dxfId="3233" priority="3413" stopIfTrue="1" operator="equal">
      <formula>"N/A"</formula>
    </cfRule>
  </conditionalFormatting>
  <conditionalFormatting sqref="V15">
    <cfRule type="expression" dxfId="3232" priority="3410" stopIfTrue="1">
      <formula>IF(OR(V15="Y",V15="y",V15="Partial",V15="partial"),TRUE,FALSE)=FALSE</formula>
    </cfRule>
    <cfRule type="expression" dxfId="3231" priority="3411" stopIfTrue="1">
      <formula>IF(OR(V15="Partial",V15="partial"),TRUE,FALSE)=TRUE</formula>
    </cfRule>
    <cfRule type="expression" dxfId="3230" priority="3412" stopIfTrue="1">
      <formula>IF(OR(V15="Y",V15="y"),TRUE,FALSE)=TRUE</formula>
    </cfRule>
  </conditionalFormatting>
  <conditionalFormatting sqref="V15">
    <cfRule type="cellIs" dxfId="3229" priority="3409" stopIfTrue="1" operator="equal">
      <formula>"N/A"</formula>
    </cfRule>
  </conditionalFormatting>
  <conditionalFormatting sqref="W15">
    <cfRule type="expression" dxfId="3228" priority="3406" stopIfTrue="1">
      <formula>IF(OR(W15="Y",W15="y",W15="Partial",W15="partial"),TRUE,FALSE)=FALSE</formula>
    </cfRule>
    <cfRule type="expression" dxfId="3227" priority="3407" stopIfTrue="1">
      <formula>IF(OR(W15="Partial",W15="partial"),TRUE,FALSE)=TRUE</formula>
    </cfRule>
    <cfRule type="expression" dxfId="3226" priority="3408" stopIfTrue="1">
      <formula>IF(OR(W15="Y",W15="y"),TRUE,FALSE)=TRUE</formula>
    </cfRule>
  </conditionalFormatting>
  <conditionalFormatting sqref="W15">
    <cfRule type="cellIs" dxfId="3225" priority="3405" stopIfTrue="1" operator="equal">
      <formula>"N/A"</formula>
    </cfRule>
  </conditionalFormatting>
  <conditionalFormatting sqref="X15">
    <cfRule type="expression" dxfId="3224" priority="3402" stopIfTrue="1">
      <formula>IF(OR(X15="Y",X15="y",X15="Partial",X15="partial"),TRUE,FALSE)=FALSE</formula>
    </cfRule>
    <cfRule type="expression" dxfId="3223" priority="3403" stopIfTrue="1">
      <formula>IF(OR(X15="Partial",X15="partial"),TRUE,FALSE)=TRUE</formula>
    </cfRule>
    <cfRule type="expression" dxfId="3222" priority="3404" stopIfTrue="1">
      <formula>IF(OR(X15="Y",X15="y"),TRUE,FALSE)=TRUE</formula>
    </cfRule>
  </conditionalFormatting>
  <conditionalFormatting sqref="X15">
    <cfRule type="cellIs" dxfId="3221" priority="3401" stopIfTrue="1" operator="equal">
      <formula>"N/A"</formula>
    </cfRule>
  </conditionalFormatting>
  <conditionalFormatting sqref="H16">
    <cfRule type="expression" dxfId="3220" priority="3398" stopIfTrue="1">
      <formula>IF(OR(H16="Y",H16="y",H16="Partial",H16="partial"),TRUE,FALSE)=FALSE</formula>
    </cfRule>
    <cfRule type="expression" dxfId="3219" priority="3399" stopIfTrue="1">
      <formula>IF(OR(H16="Partial",H16="partial"),TRUE,FALSE)=TRUE</formula>
    </cfRule>
    <cfRule type="expression" dxfId="3218" priority="3400" stopIfTrue="1">
      <formula>IF(OR(H16="Y",H16="y"),TRUE,FALSE)=TRUE</formula>
    </cfRule>
  </conditionalFormatting>
  <conditionalFormatting sqref="H16">
    <cfRule type="cellIs" dxfId="3217" priority="3397" stopIfTrue="1" operator="equal">
      <formula>"N/A"</formula>
    </cfRule>
  </conditionalFormatting>
  <conditionalFormatting sqref="I16">
    <cfRule type="expression" dxfId="3216" priority="3394" stopIfTrue="1">
      <formula>IF(OR(I16="Y",I16="y",I16="Partial",I16="partial"),TRUE,FALSE)=FALSE</formula>
    </cfRule>
    <cfRule type="expression" dxfId="3215" priority="3395" stopIfTrue="1">
      <formula>IF(OR(I16="Partial",I16="partial"),TRUE,FALSE)=TRUE</formula>
    </cfRule>
    <cfRule type="expression" dxfId="3214" priority="3396" stopIfTrue="1">
      <formula>IF(OR(I16="Y",I16="y"),TRUE,FALSE)=TRUE</formula>
    </cfRule>
  </conditionalFormatting>
  <conditionalFormatting sqref="I16">
    <cfRule type="cellIs" dxfId="3213" priority="3393" stopIfTrue="1" operator="equal">
      <formula>"N/A"</formula>
    </cfRule>
  </conditionalFormatting>
  <conditionalFormatting sqref="J16">
    <cfRule type="expression" dxfId="3212" priority="3390" stopIfTrue="1">
      <formula>IF(OR(J16="Y",J16="y",J16="Partial",J16="partial"),TRUE,FALSE)=FALSE</formula>
    </cfRule>
    <cfRule type="expression" dxfId="3211" priority="3391" stopIfTrue="1">
      <formula>IF(OR(J16="Partial",J16="partial"),TRUE,FALSE)=TRUE</formula>
    </cfRule>
    <cfRule type="expression" dxfId="3210" priority="3392" stopIfTrue="1">
      <formula>IF(OR(J16="Y",J16="y"),TRUE,FALSE)=TRUE</formula>
    </cfRule>
  </conditionalFormatting>
  <conditionalFormatting sqref="J16">
    <cfRule type="cellIs" dxfId="3209" priority="3389" stopIfTrue="1" operator="equal">
      <formula>"N/A"</formula>
    </cfRule>
  </conditionalFormatting>
  <conditionalFormatting sqref="K16">
    <cfRule type="expression" dxfId="3208" priority="3386" stopIfTrue="1">
      <formula>IF(OR(K16="Y",K16="y",K16="Partial",K16="partial"),TRUE,FALSE)=FALSE</formula>
    </cfRule>
    <cfRule type="expression" dxfId="3207" priority="3387" stopIfTrue="1">
      <formula>IF(OR(K16="Partial",K16="partial"),TRUE,FALSE)=TRUE</formula>
    </cfRule>
    <cfRule type="expression" dxfId="3206" priority="3388" stopIfTrue="1">
      <formula>IF(OR(K16="Y",K16="y"),TRUE,FALSE)=TRUE</formula>
    </cfRule>
  </conditionalFormatting>
  <conditionalFormatting sqref="K16">
    <cfRule type="cellIs" dxfId="3205" priority="3385" stopIfTrue="1" operator="equal">
      <formula>"N/A"</formula>
    </cfRule>
  </conditionalFormatting>
  <conditionalFormatting sqref="L16">
    <cfRule type="expression" dxfId="3204" priority="3382" stopIfTrue="1">
      <formula>IF(OR(L16="Y",L16="y",L16="Partial",L16="partial"),TRUE,FALSE)=FALSE</formula>
    </cfRule>
    <cfRule type="expression" dxfId="3203" priority="3383" stopIfTrue="1">
      <formula>IF(OR(L16="Partial",L16="partial"),TRUE,FALSE)=TRUE</formula>
    </cfRule>
    <cfRule type="expression" dxfId="3202" priority="3384" stopIfTrue="1">
      <formula>IF(OR(L16="Y",L16="y"),TRUE,FALSE)=TRUE</formula>
    </cfRule>
  </conditionalFormatting>
  <conditionalFormatting sqref="L16">
    <cfRule type="cellIs" dxfId="3201" priority="3381" stopIfTrue="1" operator="equal">
      <formula>"N/A"</formula>
    </cfRule>
  </conditionalFormatting>
  <conditionalFormatting sqref="M16">
    <cfRule type="expression" dxfId="3200" priority="3378" stopIfTrue="1">
      <formula>IF(OR(M16="Y",M16="y",M16="Partial",M16="partial"),TRUE,FALSE)=FALSE</formula>
    </cfRule>
    <cfRule type="expression" dxfId="3199" priority="3379" stopIfTrue="1">
      <formula>IF(OR(M16="Partial",M16="partial"),TRUE,FALSE)=TRUE</formula>
    </cfRule>
    <cfRule type="expression" dxfId="3198" priority="3380" stopIfTrue="1">
      <formula>IF(OR(M16="Y",M16="y"),TRUE,FALSE)=TRUE</formula>
    </cfRule>
  </conditionalFormatting>
  <conditionalFormatting sqref="M16">
    <cfRule type="cellIs" dxfId="3197" priority="3377" stopIfTrue="1" operator="equal">
      <formula>"N/A"</formula>
    </cfRule>
  </conditionalFormatting>
  <conditionalFormatting sqref="N16">
    <cfRule type="expression" dxfId="3196" priority="3374" stopIfTrue="1">
      <formula>IF(OR(N16="Y",N16="y",N16="Partial",N16="partial"),TRUE,FALSE)=FALSE</formula>
    </cfRule>
    <cfRule type="expression" dxfId="3195" priority="3375" stopIfTrue="1">
      <formula>IF(OR(N16="Partial",N16="partial"),TRUE,FALSE)=TRUE</formula>
    </cfRule>
    <cfRule type="expression" dxfId="3194" priority="3376" stopIfTrue="1">
      <formula>IF(OR(N16="Y",N16="y"),TRUE,FALSE)=TRUE</formula>
    </cfRule>
  </conditionalFormatting>
  <conditionalFormatting sqref="N16">
    <cfRule type="cellIs" dxfId="3193" priority="3373" stopIfTrue="1" operator="equal">
      <formula>"N/A"</formula>
    </cfRule>
  </conditionalFormatting>
  <conditionalFormatting sqref="O16">
    <cfRule type="expression" dxfId="3192" priority="3370" stopIfTrue="1">
      <formula>IF(OR(O16="Y",O16="y",O16="Partial",O16="partial"),TRUE,FALSE)=FALSE</formula>
    </cfRule>
    <cfRule type="expression" dxfId="3191" priority="3371" stopIfTrue="1">
      <formula>IF(OR(O16="Partial",O16="partial"),TRUE,FALSE)=TRUE</formula>
    </cfRule>
    <cfRule type="expression" dxfId="3190" priority="3372" stopIfTrue="1">
      <formula>IF(OR(O16="Y",O16="y"),TRUE,FALSE)=TRUE</formula>
    </cfRule>
  </conditionalFormatting>
  <conditionalFormatting sqref="O16">
    <cfRule type="cellIs" dxfId="3189" priority="3369" stopIfTrue="1" operator="equal">
      <formula>"N/A"</formula>
    </cfRule>
  </conditionalFormatting>
  <conditionalFormatting sqref="P16">
    <cfRule type="expression" dxfId="3188" priority="3366" stopIfTrue="1">
      <formula>IF(OR(P16="Y",P16="y",P16="Partial",P16="partial"),TRUE,FALSE)=FALSE</formula>
    </cfRule>
    <cfRule type="expression" dxfId="3187" priority="3367" stopIfTrue="1">
      <formula>IF(OR(P16="Partial",P16="partial"),TRUE,FALSE)=TRUE</formula>
    </cfRule>
    <cfRule type="expression" dxfId="3186" priority="3368" stopIfTrue="1">
      <formula>IF(OR(P16="Y",P16="y"),TRUE,FALSE)=TRUE</formula>
    </cfRule>
  </conditionalFormatting>
  <conditionalFormatting sqref="P16">
    <cfRule type="cellIs" dxfId="3185" priority="3365" stopIfTrue="1" operator="equal">
      <formula>"N/A"</formula>
    </cfRule>
  </conditionalFormatting>
  <conditionalFormatting sqref="R16">
    <cfRule type="expression" dxfId="3184" priority="3358" stopIfTrue="1">
      <formula>IF(OR(R16="Y",R16="y",R16="Partial",R16="partial"),TRUE,FALSE)=FALSE</formula>
    </cfRule>
    <cfRule type="expression" dxfId="3183" priority="3359" stopIfTrue="1">
      <formula>IF(OR(R16="Partial",R16="partial"),TRUE,FALSE)=TRUE</formula>
    </cfRule>
    <cfRule type="expression" dxfId="3182" priority="3360" stopIfTrue="1">
      <formula>IF(OR(R16="Y",R16="y"),TRUE,FALSE)=TRUE</formula>
    </cfRule>
  </conditionalFormatting>
  <conditionalFormatting sqref="R16">
    <cfRule type="cellIs" dxfId="3181" priority="3357" stopIfTrue="1" operator="equal">
      <formula>"N/A"</formula>
    </cfRule>
  </conditionalFormatting>
  <conditionalFormatting sqref="S16">
    <cfRule type="expression" dxfId="3180" priority="3354" stopIfTrue="1">
      <formula>IF(OR(S16="Y",S16="y",S16="Partial",S16="partial"),TRUE,FALSE)=FALSE</formula>
    </cfRule>
    <cfRule type="expression" dxfId="3179" priority="3355" stopIfTrue="1">
      <formula>IF(OR(S16="Partial",S16="partial"),TRUE,FALSE)=TRUE</formula>
    </cfRule>
    <cfRule type="expression" dxfId="3178" priority="3356" stopIfTrue="1">
      <formula>IF(OR(S16="Y",S16="y"),TRUE,FALSE)=TRUE</formula>
    </cfRule>
  </conditionalFormatting>
  <conditionalFormatting sqref="S16">
    <cfRule type="cellIs" dxfId="3177" priority="3353" stopIfTrue="1" operator="equal">
      <formula>"N/A"</formula>
    </cfRule>
  </conditionalFormatting>
  <conditionalFormatting sqref="T16">
    <cfRule type="expression" dxfId="3176" priority="3350" stopIfTrue="1">
      <formula>IF(OR(T16="Y",T16="y",T16="Partial",T16="partial"),TRUE,FALSE)=FALSE</formula>
    </cfRule>
    <cfRule type="expression" dxfId="3175" priority="3351" stopIfTrue="1">
      <formula>IF(OR(T16="Partial",T16="partial"),TRUE,FALSE)=TRUE</formula>
    </cfRule>
    <cfRule type="expression" dxfId="3174" priority="3352" stopIfTrue="1">
      <formula>IF(OR(T16="Y",T16="y"),TRUE,FALSE)=TRUE</formula>
    </cfRule>
  </conditionalFormatting>
  <conditionalFormatting sqref="T16">
    <cfRule type="cellIs" dxfId="3173" priority="3349" stopIfTrue="1" operator="equal">
      <formula>"N/A"</formula>
    </cfRule>
  </conditionalFormatting>
  <conditionalFormatting sqref="U16">
    <cfRule type="expression" dxfId="3172" priority="3346" stopIfTrue="1">
      <formula>IF(OR(U16="Y",U16="y",U16="Partial",U16="partial"),TRUE,FALSE)=FALSE</formula>
    </cfRule>
    <cfRule type="expression" dxfId="3171" priority="3347" stopIfTrue="1">
      <formula>IF(OR(U16="Partial",U16="partial"),TRUE,FALSE)=TRUE</formula>
    </cfRule>
    <cfRule type="expression" dxfId="3170" priority="3348" stopIfTrue="1">
      <formula>IF(OR(U16="Y",U16="y"),TRUE,FALSE)=TRUE</formula>
    </cfRule>
  </conditionalFormatting>
  <conditionalFormatting sqref="U16">
    <cfRule type="cellIs" dxfId="3169" priority="3345" stopIfTrue="1" operator="equal">
      <formula>"N/A"</formula>
    </cfRule>
  </conditionalFormatting>
  <conditionalFormatting sqref="V16">
    <cfRule type="expression" dxfId="3168" priority="3342" stopIfTrue="1">
      <formula>IF(OR(V16="Y",V16="y",V16="Partial",V16="partial"),TRUE,FALSE)=FALSE</formula>
    </cfRule>
    <cfRule type="expression" dxfId="3167" priority="3343" stopIfTrue="1">
      <formula>IF(OR(V16="Partial",V16="partial"),TRUE,FALSE)=TRUE</formula>
    </cfRule>
    <cfRule type="expression" dxfId="3166" priority="3344" stopIfTrue="1">
      <formula>IF(OR(V16="Y",V16="y"),TRUE,FALSE)=TRUE</formula>
    </cfRule>
  </conditionalFormatting>
  <conditionalFormatting sqref="V16">
    <cfRule type="cellIs" dxfId="3165" priority="3341" stopIfTrue="1" operator="equal">
      <formula>"N/A"</formula>
    </cfRule>
  </conditionalFormatting>
  <conditionalFormatting sqref="W16">
    <cfRule type="expression" dxfId="3164" priority="3338" stopIfTrue="1">
      <formula>IF(OR(W16="Y",W16="y",W16="Partial",W16="partial"),TRUE,FALSE)=FALSE</formula>
    </cfRule>
    <cfRule type="expression" dxfId="3163" priority="3339" stopIfTrue="1">
      <formula>IF(OR(W16="Partial",W16="partial"),TRUE,FALSE)=TRUE</formula>
    </cfRule>
    <cfRule type="expression" dxfId="3162" priority="3340" stopIfTrue="1">
      <formula>IF(OR(W16="Y",W16="y"),TRUE,FALSE)=TRUE</formula>
    </cfRule>
  </conditionalFormatting>
  <conditionalFormatting sqref="W16">
    <cfRule type="cellIs" dxfId="3161" priority="3337" stopIfTrue="1" operator="equal">
      <formula>"N/A"</formula>
    </cfRule>
  </conditionalFormatting>
  <conditionalFormatting sqref="X16">
    <cfRule type="expression" dxfId="3160" priority="3334" stopIfTrue="1">
      <formula>IF(OR(X16="Y",X16="y",X16="Partial",X16="partial"),TRUE,FALSE)=FALSE</formula>
    </cfRule>
    <cfRule type="expression" dxfId="3159" priority="3335" stopIfTrue="1">
      <formula>IF(OR(X16="Partial",X16="partial"),TRUE,FALSE)=TRUE</formula>
    </cfRule>
    <cfRule type="expression" dxfId="3158" priority="3336" stopIfTrue="1">
      <formula>IF(OR(X16="Y",X16="y"),TRUE,FALSE)=TRUE</formula>
    </cfRule>
  </conditionalFormatting>
  <conditionalFormatting sqref="X16">
    <cfRule type="cellIs" dxfId="3157" priority="3333" stopIfTrue="1" operator="equal">
      <formula>"N/A"</formula>
    </cfRule>
  </conditionalFormatting>
  <conditionalFormatting sqref="H17">
    <cfRule type="expression" dxfId="3156" priority="3330" stopIfTrue="1">
      <formula>IF(OR(H17="Y",H17="y",H17="Partial",H17="partial"),TRUE,FALSE)=FALSE</formula>
    </cfRule>
    <cfRule type="expression" dxfId="3155" priority="3331" stopIfTrue="1">
      <formula>IF(OR(H17="Partial",H17="partial"),TRUE,FALSE)=TRUE</formula>
    </cfRule>
    <cfRule type="expression" dxfId="3154" priority="3332" stopIfTrue="1">
      <formula>IF(OR(H17="Y",H17="y"),TRUE,FALSE)=TRUE</formula>
    </cfRule>
  </conditionalFormatting>
  <conditionalFormatting sqref="H17">
    <cfRule type="cellIs" dxfId="3153" priority="3329" stopIfTrue="1" operator="equal">
      <formula>"N/A"</formula>
    </cfRule>
  </conditionalFormatting>
  <conditionalFormatting sqref="I17">
    <cfRule type="expression" dxfId="3152" priority="3326" stopIfTrue="1">
      <formula>IF(OR(I17="Y",I17="y",I17="Partial",I17="partial"),TRUE,FALSE)=FALSE</formula>
    </cfRule>
    <cfRule type="expression" dxfId="3151" priority="3327" stopIfTrue="1">
      <formula>IF(OR(I17="Partial",I17="partial"),TRUE,FALSE)=TRUE</formula>
    </cfRule>
    <cfRule type="expression" dxfId="3150" priority="3328" stopIfTrue="1">
      <formula>IF(OR(I17="Y",I17="y"),TRUE,FALSE)=TRUE</formula>
    </cfRule>
  </conditionalFormatting>
  <conditionalFormatting sqref="I17">
    <cfRule type="cellIs" dxfId="3149" priority="3325" stopIfTrue="1" operator="equal">
      <formula>"N/A"</formula>
    </cfRule>
  </conditionalFormatting>
  <conditionalFormatting sqref="J17">
    <cfRule type="expression" dxfId="3148" priority="3322" stopIfTrue="1">
      <formula>IF(OR(J17="Y",J17="y",J17="Partial",J17="partial"),TRUE,FALSE)=FALSE</formula>
    </cfRule>
    <cfRule type="expression" dxfId="3147" priority="3323" stopIfTrue="1">
      <formula>IF(OR(J17="Partial",J17="partial"),TRUE,FALSE)=TRUE</formula>
    </cfRule>
    <cfRule type="expression" dxfId="3146" priority="3324" stopIfTrue="1">
      <formula>IF(OR(J17="Y",J17="y"),TRUE,FALSE)=TRUE</formula>
    </cfRule>
  </conditionalFormatting>
  <conditionalFormatting sqref="J17">
    <cfRule type="cellIs" dxfId="3145" priority="3321" stopIfTrue="1" operator="equal">
      <formula>"N/A"</formula>
    </cfRule>
  </conditionalFormatting>
  <conditionalFormatting sqref="K17">
    <cfRule type="expression" dxfId="3144" priority="3318" stopIfTrue="1">
      <formula>IF(OR(K17="Y",K17="y",K17="Partial",K17="partial"),TRUE,FALSE)=FALSE</formula>
    </cfRule>
    <cfRule type="expression" dxfId="3143" priority="3319" stopIfTrue="1">
      <formula>IF(OR(K17="Partial",K17="partial"),TRUE,FALSE)=TRUE</formula>
    </cfRule>
    <cfRule type="expression" dxfId="3142" priority="3320" stopIfTrue="1">
      <formula>IF(OR(K17="Y",K17="y"),TRUE,FALSE)=TRUE</formula>
    </cfRule>
  </conditionalFormatting>
  <conditionalFormatting sqref="K17">
    <cfRule type="cellIs" dxfId="3141" priority="3317" stopIfTrue="1" operator="equal">
      <formula>"N/A"</formula>
    </cfRule>
  </conditionalFormatting>
  <conditionalFormatting sqref="L17">
    <cfRule type="expression" dxfId="3140" priority="3314" stopIfTrue="1">
      <formula>IF(OR(L17="Y",L17="y",L17="Partial",L17="partial"),TRUE,FALSE)=FALSE</formula>
    </cfRule>
    <cfRule type="expression" dxfId="3139" priority="3315" stopIfTrue="1">
      <formula>IF(OR(L17="Partial",L17="partial"),TRUE,FALSE)=TRUE</formula>
    </cfRule>
    <cfRule type="expression" dxfId="3138" priority="3316" stopIfTrue="1">
      <formula>IF(OR(L17="Y",L17="y"),TRUE,FALSE)=TRUE</formula>
    </cfRule>
  </conditionalFormatting>
  <conditionalFormatting sqref="L17">
    <cfRule type="cellIs" dxfId="3137" priority="3313" stopIfTrue="1" operator="equal">
      <formula>"N/A"</formula>
    </cfRule>
  </conditionalFormatting>
  <conditionalFormatting sqref="M17">
    <cfRule type="expression" dxfId="3136" priority="3310" stopIfTrue="1">
      <formula>IF(OR(M17="Y",M17="y",M17="Partial",M17="partial"),TRUE,FALSE)=FALSE</formula>
    </cfRule>
    <cfRule type="expression" dxfId="3135" priority="3311" stopIfTrue="1">
      <formula>IF(OR(M17="Partial",M17="partial"),TRUE,FALSE)=TRUE</formula>
    </cfRule>
    <cfRule type="expression" dxfId="3134" priority="3312" stopIfTrue="1">
      <formula>IF(OR(M17="Y",M17="y"),TRUE,FALSE)=TRUE</formula>
    </cfRule>
  </conditionalFormatting>
  <conditionalFormatting sqref="M17">
    <cfRule type="cellIs" dxfId="3133" priority="3309" stopIfTrue="1" operator="equal">
      <formula>"N/A"</formula>
    </cfRule>
  </conditionalFormatting>
  <conditionalFormatting sqref="N17">
    <cfRule type="expression" dxfId="3132" priority="3306" stopIfTrue="1">
      <formula>IF(OR(N17="Y",N17="y",N17="Partial",N17="partial"),TRUE,FALSE)=FALSE</formula>
    </cfRule>
    <cfRule type="expression" dxfId="3131" priority="3307" stopIfTrue="1">
      <formula>IF(OR(N17="Partial",N17="partial"),TRUE,FALSE)=TRUE</formula>
    </cfRule>
    <cfRule type="expression" dxfId="3130" priority="3308" stopIfTrue="1">
      <formula>IF(OR(N17="Y",N17="y"),TRUE,FALSE)=TRUE</formula>
    </cfRule>
  </conditionalFormatting>
  <conditionalFormatting sqref="N17">
    <cfRule type="cellIs" dxfId="3129" priority="3305" stopIfTrue="1" operator="equal">
      <formula>"N/A"</formula>
    </cfRule>
  </conditionalFormatting>
  <conditionalFormatting sqref="O17">
    <cfRule type="expression" dxfId="3128" priority="3302" stopIfTrue="1">
      <formula>IF(OR(O17="Y",O17="y",O17="Partial",O17="partial"),TRUE,FALSE)=FALSE</formula>
    </cfRule>
    <cfRule type="expression" dxfId="3127" priority="3303" stopIfTrue="1">
      <formula>IF(OR(O17="Partial",O17="partial"),TRUE,FALSE)=TRUE</formula>
    </cfRule>
    <cfRule type="expression" dxfId="3126" priority="3304" stopIfTrue="1">
      <formula>IF(OR(O17="Y",O17="y"),TRUE,FALSE)=TRUE</formula>
    </cfRule>
  </conditionalFormatting>
  <conditionalFormatting sqref="O17">
    <cfRule type="cellIs" dxfId="3125" priority="3301" stopIfTrue="1" operator="equal">
      <formula>"N/A"</formula>
    </cfRule>
  </conditionalFormatting>
  <conditionalFormatting sqref="P17">
    <cfRule type="expression" dxfId="3124" priority="3298" stopIfTrue="1">
      <formula>IF(OR(P17="Y",P17="y",P17="Partial",P17="partial"),TRUE,FALSE)=FALSE</formula>
    </cfRule>
    <cfRule type="expression" dxfId="3123" priority="3299" stopIfTrue="1">
      <formula>IF(OR(P17="Partial",P17="partial"),TRUE,FALSE)=TRUE</formula>
    </cfRule>
    <cfRule type="expression" dxfId="3122" priority="3300" stopIfTrue="1">
      <formula>IF(OR(P17="Y",P17="y"),TRUE,FALSE)=TRUE</formula>
    </cfRule>
  </conditionalFormatting>
  <conditionalFormatting sqref="P17">
    <cfRule type="cellIs" dxfId="3121" priority="3297" stopIfTrue="1" operator="equal">
      <formula>"N/A"</formula>
    </cfRule>
  </conditionalFormatting>
  <conditionalFormatting sqref="R17">
    <cfRule type="expression" dxfId="3120" priority="3290" stopIfTrue="1">
      <formula>IF(OR(R17="Y",R17="y",R17="Partial",R17="partial"),TRUE,FALSE)=FALSE</formula>
    </cfRule>
    <cfRule type="expression" dxfId="3119" priority="3291" stopIfTrue="1">
      <formula>IF(OR(R17="Partial",R17="partial"),TRUE,FALSE)=TRUE</formula>
    </cfRule>
    <cfRule type="expression" dxfId="3118" priority="3292" stopIfTrue="1">
      <formula>IF(OR(R17="Y",R17="y"),TRUE,FALSE)=TRUE</formula>
    </cfRule>
  </conditionalFormatting>
  <conditionalFormatting sqref="R17">
    <cfRule type="cellIs" dxfId="3117" priority="3289" stopIfTrue="1" operator="equal">
      <formula>"N/A"</formula>
    </cfRule>
  </conditionalFormatting>
  <conditionalFormatting sqref="S17">
    <cfRule type="expression" dxfId="3116" priority="3286" stopIfTrue="1">
      <formula>IF(OR(S17="Y",S17="y",S17="Partial",S17="partial"),TRUE,FALSE)=FALSE</formula>
    </cfRule>
    <cfRule type="expression" dxfId="3115" priority="3287" stopIfTrue="1">
      <formula>IF(OR(S17="Partial",S17="partial"),TRUE,FALSE)=TRUE</formula>
    </cfRule>
    <cfRule type="expression" dxfId="3114" priority="3288" stopIfTrue="1">
      <formula>IF(OR(S17="Y",S17="y"),TRUE,FALSE)=TRUE</formula>
    </cfRule>
  </conditionalFormatting>
  <conditionalFormatting sqref="S17">
    <cfRule type="cellIs" dxfId="3113" priority="3285" stopIfTrue="1" operator="equal">
      <formula>"N/A"</formula>
    </cfRule>
  </conditionalFormatting>
  <conditionalFormatting sqref="T17">
    <cfRule type="expression" dxfId="3112" priority="3282" stopIfTrue="1">
      <formula>IF(OR(T17="Y",T17="y",T17="Partial",T17="partial"),TRUE,FALSE)=FALSE</formula>
    </cfRule>
    <cfRule type="expression" dxfId="3111" priority="3283" stopIfTrue="1">
      <formula>IF(OR(T17="Partial",T17="partial"),TRUE,FALSE)=TRUE</formula>
    </cfRule>
    <cfRule type="expression" dxfId="3110" priority="3284" stopIfTrue="1">
      <formula>IF(OR(T17="Y",T17="y"),TRUE,FALSE)=TRUE</formula>
    </cfRule>
  </conditionalFormatting>
  <conditionalFormatting sqref="T17">
    <cfRule type="cellIs" dxfId="3109" priority="3281" stopIfTrue="1" operator="equal">
      <formula>"N/A"</formula>
    </cfRule>
  </conditionalFormatting>
  <conditionalFormatting sqref="U17">
    <cfRule type="expression" dxfId="3108" priority="3278" stopIfTrue="1">
      <formula>IF(OR(U17="Y",U17="y",U17="Partial",U17="partial"),TRUE,FALSE)=FALSE</formula>
    </cfRule>
    <cfRule type="expression" dxfId="3107" priority="3279" stopIfTrue="1">
      <formula>IF(OR(U17="Partial",U17="partial"),TRUE,FALSE)=TRUE</formula>
    </cfRule>
    <cfRule type="expression" dxfId="3106" priority="3280" stopIfTrue="1">
      <formula>IF(OR(U17="Y",U17="y"),TRUE,FALSE)=TRUE</formula>
    </cfRule>
  </conditionalFormatting>
  <conditionalFormatting sqref="U17">
    <cfRule type="cellIs" dxfId="3105" priority="3277" stopIfTrue="1" operator="equal">
      <formula>"N/A"</formula>
    </cfRule>
  </conditionalFormatting>
  <conditionalFormatting sqref="V17">
    <cfRule type="expression" dxfId="3104" priority="3274" stopIfTrue="1">
      <formula>IF(OR(V17="Y",V17="y",V17="Partial",V17="partial"),TRUE,FALSE)=FALSE</formula>
    </cfRule>
    <cfRule type="expression" dxfId="3103" priority="3275" stopIfTrue="1">
      <formula>IF(OR(V17="Partial",V17="partial"),TRUE,FALSE)=TRUE</formula>
    </cfRule>
    <cfRule type="expression" dxfId="3102" priority="3276" stopIfTrue="1">
      <formula>IF(OR(V17="Y",V17="y"),TRUE,FALSE)=TRUE</formula>
    </cfRule>
  </conditionalFormatting>
  <conditionalFormatting sqref="V17">
    <cfRule type="cellIs" dxfId="3101" priority="3273" stopIfTrue="1" operator="equal">
      <formula>"N/A"</formula>
    </cfRule>
  </conditionalFormatting>
  <conditionalFormatting sqref="W17">
    <cfRule type="expression" dxfId="3100" priority="3270" stopIfTrue="1">
      <formula>IF(OR(W17="Y",W17="y",W17="Partial",W17="partial"),TRUE,FALSE)=FALSE</formula>
    </cfRule>
    <cfRule type="expression" dxfId="3099" priority="3271" stopIfTrue="1">
      <formula>IF(OR(W17="Partial",W17="partial"),TRUE,FALSE)=TRUE</formula>
    </cfRule>
    <cfRule type="expression" dxfId="3098" priority="3272" stopIfTrue="1">
      <formula>IF(OR(W17="Y",W17="y"),TRUE,FALSE)=TRUE</formula>
    </cfRule>
  </conditionalFormatting>
  <conditionalFormatting sqref="W17">
    <cfRule type="cellIs" dxfId="3097" priority="3269" stopIfTrue="1" operator="equal">
      <formula>"N/A"</formula>
    </cfRule>
  </conditionalFormatting>
  <conditionalFormatting sqref="X17">
    <cfRule type="expression" dxfId="3096" priority="3266" stopIfTrue="1">
      <formula>IF(OR(X17="Y",X17="y",X17="Partial",X17="partial"),TRUE,FALSE)=FALSE</formula>
    </cfRule>
    <cfRule type="expression" dxfId="3095" priority="3267" stopIfTrue="1">
      <formula>IF(OR(X17="Partial",X17="partial"),TRUE,FALSE)=TRUE</formula>
    </cfRule>
    <cfRule type="expression" dxfId="3094" priority="3268" stopIfTrue="1">
      <formula>IF(OR(X17="Y",X17="y"),TRUE,FALSE)=TRUE</formula>
    </cfRule>
  </conditionalFormatting>
  <conditionalFormatting sqref="X17">
    <cfRule type="cellIs" dxfId="3093" priority="3265" stopIfTrue="1" operator="equal">
      <formula>"N/A"</formula>
    </cfRule>
  </conditionalFormatting>
  <conditionalFormatting sqref="H18">
    <cfRule type="expression" dxfId="3092" priority="3262" stopIfTrue="1">
      <formula>IF(OR(H18="Y",H18="y",H18="Partial",H18="partial"),TRUE,FALSE)=FALSE</formula>
    </cfRule>
    <cfRule type="expression" dxfId="3091" priority="3263" stopIfTrue="1">
      <formula>IF(OR(H18="Partial",H18="partial"),TRUE,FALSE)=TRUE</formula>
    </cfRule>
    <cfRule type="expression" dxfId="3090" priority="3264" stopIfTrue="1">
      <formula>IF(OR(H18="Y",H18="y"),TRUE,FALSE)=TRUE</formula>
    </cfRule>
  </conditionalFormatting>
  <conditionalFormatting sqref="H18">
    <cfRule type="cellIs" dxfId="3089" priority="3261" stopIfTrue="1" operator="equal">
      <formula>"N/A"</formula>
    </cfRule>
  </conditionalFormatting>
  <conditionalFormatting sqref="I18">
    <cfRule type="expression" dxfId="3088" priority="3258" stopIfTrue="1">
      <formula>IF(OR(I18="Y",I18="y",I18="Partial",I18="partial"),TRUE,FALSE)=FALSE</formula>
    </cfRule>
    <cfRule type="expression" dxfId="3087" priority="3259" stopIfTrue="1">
      <formula>IF(OR(I18="Partial",I18="partial"),TRUE,FALSE)=TRUE</formula>
    </cfRule>
    <cfRule type="expression" dxfId="3086" priority="3260" stopIfTrue="1">
      <formula>IF(OR(I18="Y",I18="y"),TRUE,FALSE)=TRUE</formula>
    </cfRule>
  </conditionalFormatting>
  <conditionalFormatting sqref="I18">
    <cfRule type="cellIs" dxfId="3085" priority="3257" stopIfTrue="1" operator="equal">
      <formula>"N/A"</formula>
    </cfRule>
  </conditionalFormatting>
  <conditionalFormatting sqref="J18">
    <cfRule type="expression" dxfId="3084" priority="3254" stopIfTrue="1">
      <formula>IF(OR(J18="Y",J18="y",J18="Partial",J18="partial"),TRUE,FALSE)=FALSE</formula>
    </cfRule>
    <cfRule type="expression" dxfId="3083" priority="3255" stopIfTrue="1">
      <formula>IF(OR(J18="Partial",J18="partial"),TRUE,FALSE)=TRUE</formula>
    </cfRule>
    <cfRule type="expression" dxfId="3082" priority="3256" stopIfTrue="1">
      <formula>IF(OR(J18="Y",J18="y"),TRUE,FALSE)=TRUE</formula>
    </cfRule>
  </conditionalFormatting>
  <conditionalFormatting sqref="J18">
    <cfRule type="cellIs" dxfId="3081" priority="3253" stopIfTrue="1" operator="equal">
      <formula>"N/A"</formula>
    </cfRule>
  </conditionalFormatting>
  <conditionalFormatting sqref="K18">
    <cfRule type="expression" dxfId="3080" priority="3250" stopIfTrue="1">
      <formula>IF(OR(K18="Y",K18="y",K18="Partial",K18="partial"),TRUE,FALSE)=FALSE</formula>
    </cfRule>
    <cfRule type="expression" dxfId="3079" priority="3251" stopIfTrue="1">
      <formula>IF(OR(K18="Partial",K18="partial"),TRUE,FALSE)=TRUE</formula>
    </cfRule>
    <cfRule type="expression" dxfId="3078" priority="3252" stopIfTrue="1">
      <formula>IF(OR(K18="Y",K18="y"),TRUE,FALSE)=TRUE</formula>
    </cfRule>
  </conditionalFormatting>
  <conditionalFormatting sqref="K18">
    <cfRule type="cellIs" dxfId="3077" priority="3249" stopIfTrue="1" operator="equal">
      <formula>"N/A"</formula>
    </cfRule>
  </conditionalFormatting>
  <conditionalFormatting sqref="L18">
    <cfRule type="expression" dxfId="3076" priority="3246" stopIfTrue="1">
      <formula>IF(OR(L18="Y",L18="y",L18="Partial",L18="partial"),TRUE,FALSE)=FALSE</formula>
    </cfRule>
    <cfRule type="expression" dxfId="3075" priority="3247" stopIfTrue="1">
      <formula>IF(OR(L18="Partial",L18="partial"),TRUE,FALSE)=TRUE</formula>
    </cfRule>
    <cfRule type="expression" dxfId="3074" priority="3248" stopIfTrue="1">
      <formula>IF(OR(L18="Y",L18="y"),TRUE,FALSE)=TRUE</formula>
    </cfRule>
  </conditionalFormatting>
  <conditionalFormatting sqref="L18">
    <cfRule type="cellIs" dxfId="3073" priority="3245" stopIfTrue="1" operator="equal">
      <formula>"N/A"</formula>
    </cfRule>
  </conditionalFormatting>
  <conditionalFormatting sqref="M18">
    <cfRule type="expression" dxfId="3072" priority="3242" stopIfTrue="1">
      <formula>IF(OR(M18="Y",M18="y",M18="Partial",M18="partial"),TRUE,FALSE)=FALSE</formula>
    </cfRule>
    <cfRule type="expression" dxfId="3071" priority="3243" stopIfTrue="1">
      <formula>IF(OR(M18="Partial",M18="partial"),TRUE,FALSE)=TRUE</formula>
    </cfRule>
    <cfRule type="expression" dxfId="3070" priority="3244" stopIfTrue="1">
      <formula>IF(OR(M18="Y",M18="y"),TRUE,FALSE)=TRUE</formula>
    </cfRule>
  </conditionalFormatting>
  <conditionalFormatting sqref="M18">
    <cfRule type="cellIs" dxfId="3069" priority="3241" stopIfTrue="1" operator="equal">
      <formula>"N/A"</formula>
    </cfRule>
  </conditionalFormatting>
  <conditionalFormatting sqref="N18">
    <cfRule type="expression" dxfId="3068" priority="3238" stopIfTrue="1">
      <formula>IF(OR(N18="Y",N18="y",N18="Partial",N18="partial"),TRUE,FALSE)=FALSE</formula>
    </cfRule>
    <cfRule type="expression" dxfId="3067" priority="3239" stopIfTrue="1">
      <formula>IF(OR(N18="Partial",N18="partial"),TRUE,FALSE)=TRUE</formula>
    </cfRule>
    <cfRule type="expression" dxfId="3066" priority="3240" stopIfTrue="1">
      <formula>IF(OR(N18="Y",N18="y"),TRUE,FALSE)=TRUE</formula>
    </cfRule>
  </conditionalFormatting>
  <conditionalFormatting sqref="N18">
    <cfRule type="cellIs" dxfId="3065" priority="3237" stopIfTrue="1" operator="equal">
      <formula>"N/A"</formula>
    </cfRule>
  </conditionalFormatting>
  <conditionalFormatting sqref="O18">
    <cfRule type="expression" dxfId="3064" priority="3234" stopIfTrue="1">
      <formula>IF(OR(O18="Y",O18="y",O18="Partial",O18="partial"),TRUE,FALSE)=FALSE</formula>
    </cfRule>
    <cfRule type="expression" dxfId="3063" priority="3235" stopIfTrue="1">
      <formula>IF(OR(O18="Partial",O18="partial"),TRUE,FALSE)=TRUE</formula>
    </cfRule>
    <cfRule type="expression" dxfId="3062" priority="3236" stopIfTrue="1">
      <formula>IF(OR(O18="Y",O18="y"),TRUE,FALSE)=TRUE</formula>
    </cfRule>
  </conditionalFormatting>
  <conditionalFormatting sqref="O18">
    <cfRule type="cellIs" dxfId="3061" priority="3233" stopIfTrue="1" operator="equal">
      <formula>"N/A"</formula>
    </cfRule>
  </conditionalFormatting>
  <conditionalFormatting sqref="P18">
    <cfRule type="expression" dxfId="3060" priority="3230" stopIfTrue="1">
      <formula>IF(OR(P18="Y",P18="y",P18="Partial",P18="partial"),TRUE,FALSE)=FALSE</formula>
    </cfRule>
    <cfRule type="expression" dxfId="3059" priority="3231" stopIfTrue="1">
      <formula>IF(OR(P18="Partial",P18="partial"),TRUE,FALSE)=TRUE</formula>
    </cfRule>
    <cfRule type="expression" dxfId="3058" priority="3232" stopIfTrue="1">
      <formula>IF(OR(P18="Y",P18="y"),TRUE,FALSE)=TRUE</formula>
    </cfRule>
  </conditionalFormatting>
  <conditionalFormatting sqref="P18">
    <cfRule type="cellIs" dxfId="3057" priority="3229" stopIfTrue="1" operator="equal">
      <formula>"N/A"</formula>
    </cfRule>
  </conditionalFormatting>
  <conditionalFormatting sqref="R18">
    <cfRule type="expression" dxfId="3056" priority="3222" stopIfTrue="1">
      <formula>IF(OR(R18="Y",R18="y",R18="Partial",R18="partial"),TRUE,FALSE)=FALSE</formula>
    </cfRule>
    <cfRule type="expression" dxfId="3055" priority="3223" stopIfTrue="1">
      <formula>IF(OR(R18="Partial",R18="partial"),TRUE,FALSE)=TRUE</formula>
    </cfRule>
    <cfRule type="expression" dxfId="3054" priority="3224" stopIfTrue="1">
      <formula>IF(OR(R18="Y",R18="y"),TRUE,FALSE)=TRUE</formula>
    </cfRule>
  </conditionalFormatting>
  <conditionalFormatting sqref="R18">
    <cfRule type="cellIs" dxfId="3053" priority="3221" stopIfTrue="1" operator="equal">
      <formula>"N/A"</formula>
    </cfRule>
  </conditionalFormatting>
  <conditionalFormatting sqref="S18">
    <cfRule type="expression" dxfId="3052" priority="3218" stopIfTrue="1">
      <formula>IF(OR(S18="Y",S18="y",S18="Partial",S18="partial"),TRUE,FALSE)=FALSE</formula>
    </cfRule>
    <cfRule type="expression" dxfId="3051" priority="3219" stopIfTrue="1">
      <formula>IF(OR(S18="Partial",S18="partial"),TRUE,FALSE)=TRUE</formula>
    </cfRule>
    <cfRule type="expression" dxfId="3050" priority="3220" stopIfTrue="1">
      <formula>IF(OR(S18="Y",S18="y"),TRUE,FALSE)=TRUE</formula>
    </cfRule>
  </conditionalFormatting>
  <conditionalFormatting sqref="S18">
    <cfRule type="cellIs" dxfId="3049" priority="3217" stopIfTrue="1" operator="equal">
      <formula>"N/A"</formula>
    </cfRule>
  </conditionalFormatting>
  <conditionalFormatting sqref="T18">
    <cfRule type="expression" dxfId="3048" priority="3214" stopIfTrue="1">
      <formula>IF(OR(T18="Y",T18="y",T18="Partial",T18="partial"),TRUE,FALSE)=FALSE</formula>
    </cfRule>
    <cfRule type="expression" dxfId="3047" priority="3215" stopIfTrue="1">
      <formula>IF(OR(T18="Partial",T18="partial"),TRUE,FALSE)=TRUE</formula>
    </cfRule>
    <cfRule type="expression" dxfId="3046" priority="3216" stopIfTrue="1">
      <formula>IF(OR(T18="Y",T18="y"),TRUE,FALSE)=TRUE</formula>
    </cfRule>
  </conditionalFormatting>
  <conditionalFormatting sqref="T18">
    <cfRule type="cellIs" dxfId="3045" priority="3213" stopIfTrue="1" operator="equal">
      <formula>"N/A"</formula>
    </cfRule>
  </conditionalFormatting>
  <conditionalFormatting sqref="U18">
    <cfRule type="expression" dxfId="3044" priority="3210" stopIfTrue="1">
      <formula>IF(OR(U18="Y",U18="y",U18="Partial",U18="partial"),TRUE,FALSE)=FALSE</formula>
    </cfRule>
    <cfRule type="expression" dxfId="3043" priority="3211" stopIfTrue="1">
      <formula>IF(OR(U18="Partial",U18="partial"),TRUE,FALSE)=TRUE</formula>
    </cfRule>
    <cfRule type="expression" dxfId="3042" priority="3212" stopIfTrue="1">
      <formula>IF(OR(U18="Y",U18="y"),TRUE,FALSE)=TRUE</formula>
    </cfRule>
  </conditionalFormatting>
  <conditionalFormatting sqref="U18">
    <cfRule type="cellIs" dxfId="3041" priority="3209" stopIfTrue="1" operator="equal">
      <formula>"N/A"</formula>
    </cfRule>
  </conditionalFormatting>
  <conditionalFormatting sqref="V18">
    <cfRule type="expression" dxfId="3040" priority="3206" stopIfTrue="1">
      <formula>IF(OR(V18="Y",V18="y",V18="Partial",V18="partial"),TRUE,FALSE)=FALSE</formula>
    </cfRule>
    <cfRule type="expression" dxfId="3039" priority="3207" stopIfTrue="1">
      <formula>IF(OR(V18="Partial",V18="partial"),TRUE,FALSE)=TRUE</formula>
    </cfRule>
    <cfRule type="expression" dxfId="3038" priority="3208" stopIfTrue="1">
      <formula>IF(OR(V18="Y",V18="y"),TRUE,FALSE)=TRUE</formula>
    </cfRule>
  </conditionalFormatting>
  <conditionalFormatting sqref="V18">
    <cfRule type="cellIs" dxfId="3037" priority="3205" stopIfTrue="1" operator="equal">
      <formula>"N/A"</formula>
    </cfRule>
  </conditionalFormatting>
  <conditionalFormatting sqref="W18">
    <cfRule type="expression" dxfId="3036" priority="3202" stopIfTrue="1">
      <formula>IF(OR(W18="Y",W18="y",W18="Partial",W18="partial"),TRUE,FALSE)=FALSE</formula>
    </cfRule>
    <cfRule type="expression" dxfId="3035" priority="3203" stopIfTrue="1">
      <formula>IF(OR(W18="Partial",W18="partial"),TRUE,FALSE)=TRUE</formula>
    </cfRule>
    <cfRule type="expression" dxfId="3034" priority="3204" stopIfTrue="1">
      <formula>IF(OR(W18="Y",W18="y"),TRUE,FALSE)=TRUE</formula>
    </cfRule>
  </conditionalFormatting>
  <conditionalFormatting sqref="W18">
    <cfRule type="cellIs" dxfId="3033" priority="3201" stopIfTrue="1" operator="equal">
      <formula>"N/A"</formula>
    </cfRule>
  </conditionalFormatting>
  <conditionalFormatting sqref="X18">
    <cfRule type="expression" dxfId="3032" priority="3198" stopIfTrue="1">
      <formula>IF(OR(X18="Y",X18="y",X18="Partial",X18="partial"),TRUE,FALSE)=FALSE</formula>
    </cfRule>
    <cfRule type="expression" dxfId="3031" priority="3199" stopIfTrue="1">
      <formula>IF(OR(X18="Partial",X18="partial"),TRUE,FALSE)=TRUE</formula>
    </cfRule>
    <cfRule type="expression" dxfId="3030" priority="3200" stopIfTrue="1">
      <formula>IF(OR(X18="Y",X18="y"),TRUE,FALSE)=TRUE</formula>
    </cfRule>
  </conditionalFormatting>
  <conditionalFormatting sqref="X18">
    <cfRule type="cellIs" dxfId="3029" priority="3197" stopIfTrue="1" operator="equal">
      <formula>"N/A"</formula>
    </cfRule>
  </conditionalFormatting>
  <conditionalFormatting sqref="H19">
    <cfRule type="expression" dxfId="3028" priority="3194" stopIfTrue="1">
      <formula>IF(OR(H19="Y",H19="y",H19="Partial",H19="partial"),TRUE,FALSE)=FALSE</formula>
    </cfRule>
    <cfRule type="expression" dxfId="3027" priority="3195" stopIfTrue="1">
      <formula>IF(OR(H19="Partial",H19="partial"),TRUE,FALSE)=TRUE</formula>
    </cfRule>
    <cfRule type="expression" dxfId="3026" priority="3196" stopIfTrue="1">
      <formula>IF(OR(H19="Y",H19="y"),TRUE,FALSE)=TRUE</formula>
    </cfRule>
  </conditionalFormatting>
  <conditionalFormatting sqref="H19">
    <cfRule type="cellIs" dxfId="3025" priority="3193" stopIfTrue="1" operator="equal">
      <formula>"N/A"</formula>
    </cfRule>
  </conditionalFormatting>
  <conditionalFormatting sqref="I19">
    <cfRule type="expression" dxfId="3024" priority="3190" stopIfTrue="1">
      <formula>IF(OR(I19="Y",I19="y",I19="Partial",I19="partial"),TRUE,FALSE)=FALSE</formula>
    </cfRule>
    <cfRule type="expression" dxfId="3023" priority="3191" stopIfTrue="1">
      <formula>IF(OR(I19="Partial",I19="partial"),TRUE,FALSE)=TRUE</formula>
    </cfRule>
    <cfRule type="expression" dxfId="3022" priority="3192" stopIfTrue="1">
      <formula>IF(OR(I19="Y",I19="y"),TRUE,FALSE)=TRUE</formula>
    </cfRule>
  </conditionalFormatting>
  <conditionalFormatting sqref="I19">
    <cfRule type="cellIs" dxfId="3021" priority="3189" stopIfTrue="1" operator="equal">
      <formula>"N/A"</formula>
    </cfRule>
  </conditionalFormatting>
  <conditionalFormatting sqref="J19">
    <cfRule type="expression" dxfId="3020" priority="3186" stopIfTrue="1">
      <formula>IF(OR(J19="Y",J19="y",J19="Partial",J19="partial"),TRUE,FALSE)=FALSE</formula>
    </cfRule>
    <cfRule type="expression" dxfId="3019" priority="3187" stopIfTrue="1">
      <formula>IF(OR(J19="Partial",J19="partial"),TRUE,FALSE)=TRUE</formula>
    </cfRule>
    <cfRule type="expression" dxfId="3018" priority="3188" stopIfTrue="1">
      <formula>IF(OR(J19="Y",J19="y"),TRUE,FALSE)=TRUE</formula>
    </cfRule>
  </conditionalFormatting>
  <conditionalFormatting sqref="J19">
    <cfRule type="cellIs" dxfId="3017" priority="3185" stopIfTrue="1" operator="equal">
      <formula>"N/A"</formula>
    </cfRule>
  </conditionalFormatting>
  <conditionalFormatting sqref="K19">
    <cfRule type="expression" dxfId="3016" priority="3182" stopIfTrue="1">
      <formula>IF(OR(K19="Y",K19="y",K19="Partial",K19="partial"),TRUE,FALSE)=FALSE</formula>
    </cfRule>
    <cfRule type="expression" dxfId="3015" priority="3183" stopIfTrue="1">
      <formula>IF(OR(K19="Partial",K19="partial"),TRUE,FALSE)=TRUE</formula>
    </cfRule>
    <cfRule type="expression" dxfId="3014" priority="3184" stopIfTrue="1">
      <formula>IF(OR(K19="Y",K19="y"),TRUE,FALSE)=TRUE</formula>
    </cfRule>
  </conditionalFormatting>
  <conditionalFormatting sqref="K19">
    <cfRule type="cellIs" dxfId="3013" priority="3181" stopIfTrue="1" operator="equal">
      <formula>"N/A"</formula>
    </cfRule>
  </conditionalFormatting>
  <conditionalFormatting sqref="L19">
    <cfRule type="expression" dxfId="3012" priority="3178" stopIfTrue="1">
      <formula>IF(OR(L19="Y",L19="y",L19="Partial",L19="partial"),TRUE,FALSE)=FALSE</formula>
    </cfRule>
    <cfRule type="expression" dxfId="3011" priority="3179" stopIfTrue="1">
      <formula>IF(OR(L19="Partial",L19="partial"),TRUE,FALSE)=TRUE</formula>
    </cfRule>
    <cfRule type="expression" dxfId="3010" priority="3180" stopIfTrue="1">
      <formula>IF(OR(L19="Y",L19="y"),TRUE,FALSE)=TRUE</formula>
    </cfRule>
  </conditionalFormatting>
  <conditionalFormatting sqref="L19">
    <cfRule type="cellIs" dxfId="3009" priority="3177" stopIfTrue="1" operator="equal">
      <formula>"N/A"</formula>
    </cfRule>
  </conditionalFormatting>
  <conditionalFormatting sqref="M19">
    <cfRule type="expression" dxfId="3008" priority="3174" stopIfTrue="1">
      <formula>IF(OR(M19="Y",M19="y",M19="Partial",M19="partial"),TRUE,FALSE)=FALSE</formula>
    </cfRule>
    <cfRule type="expression" dxfId="3007" priority="3175" stopIfTrue="1">
      <formula>IF(OR(M19="Partial",M19="partial"),TRUE,FALSE)=TRUE</formula>
    </cfRule>
    <cfRule type="expression" dxfId="3006" priority="3176" stopIfTrue="1">
      <formula>IF(OR(M19="Y",M19="y"),TRUE,FALSE)=TRUE</formula>
    </cfRule>
  </conditionalFormatting>
  <conditionalFormatting sqref="M19">
    <cfRule type="cellIs" dxfId="3005" priority="3173" stopIfTrue="1" operator="equal">
      <formula>"N/A"</formula>
    </cfRule>
  </conditionalFormatting>
  <conditionalFormatting sqref="N19">
    <cfRule type="expression" dxfId="3004" priority="3170" stopIfTrue="1">
      <formula>IF(OR(N19="Y",N19="y",N19="Partial",N19="partial"),TRUE,FALSE)=FALSE</formula>
    </cfRule>
    <cfRule type="expression" dxfId="3003" priority="3171" stopIfTrue="1">
      <formula>IF(OR(N19="Partial",N19="partial"),TRUE,FALSE)=TRUE</formula>
    </cfRule>
    <cfRule type="expression" dxfId="3002" priority="3172" stopIfTrue="1">
      <formula>IF(OR(N19="Y",N19="y"),TRUE,FALSE)=TRUE</formula>
    </cfRule>
  </conditionalFormatting>
  <conditionalFormatting sqref="N19">
    <cfRule type="cellIs" dxfId="3001" priority="3169" stopIfTrue="1" operator="equal">
      <formula>"N/A"</formula>
    </cfRule>
  </conditionalFormatting>
  <conditionalFormatting sqref="O19">
    <cfRule type="expression" dxfId="3000" priority="3166" stopIfTrue="1">
      <formula>IF(OR(O19="Y",O19="y",O19="Partial",O19="partial"),TRUE,FALSE)=FALSE</formula>
    </cfRule>
    <cfRule type="expression" dxfId="2999" priority="3167" stopIfTrue="1">
      <formula>IF(OR(O19="Partial",O19="partial"),TRUE,FALSE)=TRUE</formula>
    </cfRule>
    <cfRule type="expression" dxfId="2998" priority="3168" stopIfTrue="1">
      <formula>IF(OR(O19="Y",O19="y"),TRUE,FALSE)=TRUE</formula>
    </cfRule>
  </conditionalFormatting>
  <conditionalFormatting sqref="O19">
    <cfRule type="cellIs" dxfId="2997" priority="3165" stopIfTrue="1" operator="equal">
      <formula>"N/A"</formula>
    </cfRule>
  </conditionalFormatting>
  <conditionalFormatting sqref="P19">
    <cfRule type="expression" dxfId="2996" priority="3162" stopIfTrue="1">
      <formula>IF(OR(P19="Y",P19="y",P19="Partial",P19="partial"),TRUE,FALSE)=FALSE</formula>
    </cfRule>
    <cfRule type="expression" dxfId="2995" priority="3163" stopIfTrue="1">
      <formula>IF(OR(P19="Partial",P19="partial"),TRUE,FALSE)=TRUE</formula>
    </cfRule>
    <cfRule type="expression" dxfId="2994" priority="3164" stopIfTrue="1">
      <formula>IF(OR(P19="Y",P19="y"),TRUE,FALSE)=TRUE</formula>
    </cfRule>
  </conditionalFormatting>
  <conditionalFormatting sqref="P19">
    <cfRule type="cellIs" dxfId="2993" priority="3161" stopIfTrue="1" operator="equal">
      <formula>"N/A"</formula>
    </cfRule>
  </conditionalFormatting>
  <conditionalFormatting sqref="R19">
    <cfRule type="expression" dxfId="2992" priority="3154" stopIfTrue="1">
      <formula>IF(OR(R19="Y",R19="y",R19="Partial",R19="partial"),TRUE,FALSE)=FALSE</formula>
    </cfRule>
    <cfRule type="expression" dxfId="2991" priority="3155" stopIfTrue="1">
      <formula>IF(OR(R19="Partial",R19="partial"),TRUE,FALSE)=TRUE</formula>
    </cfRule>
    <cfRule type="expression" dxfId="2990" priority="3156" stopIfTrue="1">
      <formula>IF(OR(R19="Y",R19="y"),TRUE,FALSE)=TRUE</formula>
    </cfRule>
  </conditionalFormatting>
  <conditionalFormatting sqref="R19">
    <cfRule type="cellIs" dxfId="2989" priority="3153" stopIfTrue="1" operator="equal">
      <formula>"N/A"</formula>
    </cfRule>
  </conditionalFormatting>
  <conditionalFormatting sqref="S19">
    <cfRule type="expression" dxfId="2988" priority="3150" stopIfTrue="1">
      <formula>IF(OR(S19="Y",S19="y",S19="Partial",S19="partial"),TRUE,FALSE)=FALSE</formula>
    </cfRule>
    <cfRule type="expression" dxfId="2987" priority="3151" stopIfTrue="1">
      <formula>IF(OR(S19="Partial",S19="partial"),TRUE,FALSE)=TRUE</formula>
    </cfRule>
    <cfRule type="expression" dxfId="2986" priority="3152" stopIfTrue="1">
      <formula>IF(OR(S19="Y",S19="y"),TRUE,FALSE)=TRUE</formula>
    </cfRule>
  </conditionalFormatting>
  <conditionalFormatting sqref="S19">
    <cfRule type="cellIs" dxfId="2985" priority="3149" stopIfTrue="1" operator="equal">
      <formula>"N/A"</formula>
    </cfRule>
  </conditionalFormatting>
  <conditionalFormatting sqref="T19">
    <cfRule type="expression" dxfId="2984" priority="3146" stopIfTrue="1">
      <formula>IF(OR(T19="Y",T19="y",T19="Partial",T19="partial"),TRUE,FALSE)=FALSE</formula>
    </cfRule>
    <cfRule type="expression" dxfId="2983" priority="3147" stopIfTrue="1">
      <formula>IF(OR(T19="Partial",T19="partial"),TRUE,FALSE)=TRUE</formula>
    </cfRule>
    <cfRule type="expression" dxfId="2982" priority="3148" stopIfTrue="1">
      <formula>IF(OR(T19="Y",T19="y"),TRUE,FALSE)=TRUE</formula>
    </cfRule>
  </conditionalFormatting>
  <conditionalFormatting sqref="T19">
    <cfRule type="cellIs" dxfId="2981" priority="3145" stopIfTrue="1" operator="equal">
      <formula>"N/A"</formula>
    </cfRule>
  </conditionalFormatting>
  <conditionalFormatting sqref="U19">
    <cfRule type="expression" dxfId="2980" priority="3142" stopIfTrue="1">
      <formula>IF(OR(U19="Y",U19="y",U19="Partial",U19="partial"),TRUE,FALSE)=FALSE</formula>
    </cfRule>
    <cfRule type="expression" dxfId="2979" priority="3143" stopIfTrue="1">
      <formula>IF(OR(U19="Partial",U19="partial"),TRUE,FALSE)=TRUE</formula>
    </cfRule>
    <cfRule type="expression" dxfId="2978" priority="3144" stopIfTrue="1">
      <formula>IF(OR(U19="Y",U19="y"),TRUE,FALSE)=TRUE</formula>
    </cfRule>
  </conditionalFormatting>
  <conditionalFormatting sqref="U19">
    <cfRule type="cellIs" dxfId="2977" priority="3141" stopIfTrue="1" operator="equal">
      <formula>"N/A"</formula>
    </cfRule>
  </conditionalFormatting>
  <conditionalFormatting sqref="V19">
    <cfRule type="expression" dxfId="2976" priority="3138" stopIfTrue="1">
      <formula>IF(OR(V19="Y",V19="y",V19="Partial",V19="partial"),TRUE,FALSE)=FALSE</formula>
    </cfRule>
    <cfRule type="expression" dxfId="2975" priority="3139" stopIfTrue="1">
      <formula>IF(OR(V19="Partial",V19="partial"),TRUE,FALSE)=TRUE</formula>
    </cfRule>
    <cfRule type="expression" dxfId="2974" priority="3140" stopIfTrue="1">
      <formula>IF(OR(V19="Y",V19="y"),TRUE,FALSE)=TRUE</formula>
    </cfRule>
  </conditionalFormatting>
  <conditionalFormatting sqref="V19">
    <cfRule type="cellIs" dxfId="2973" priority="3137" stopIfTrue="1" operator="equal">
      <formula>"N/A"</formula>
    </cfRule>
  </conditionalFormatting>
  <conditionalFormatting sqref="W19">
    <cfRule type="expression" dxfId="2972" priority="3134" stopIfTrue="1">
      <formula>IF(OR(W19="Y",W19="y",W19="Partial",W19="partial"),TRUE,FALSE)=FALSE</formula>
    </cfRule>
    <cfRule type="expression" dxfId="2971" priority="3135" stopIfTrue="1">
      <formula>IF(OR(W19="Partial",W19="partial"),TRUE,FALSE)=TRUE</formula>
    </cfRule>
    <cfRule type="expression" dxfId="2970" priority="3136" stopIfTrue="1">
      <formula>IF(OR(W19="Y",W19="y"),TRUE,FALSE)=TRUE</formula>
    </cfRule>
  </conditionalFormatting>
  <conditionalFormatting sqref="W19">
    <cfRule type="cellIs" dxfId="2969" priority="3133" stopIfTrue="1" operator="equal">
      <formula>"N/A"</formula>
    </cfRule>
  </conditionalFormatting>
  <conditionalFormatting sqref="X19">
    <cfRule type="expression" dxfId="2968" priority="3130" stopIfTrue="1">
      <formula>IF(OR(X19="Y",X19="y",X19="Partial",X19="partial"),TRUE,FALSE)=FALSE</formula>
    </cfRule>
    <cfRule type="expression" dxfId="2967" priority="3131" stopIfTrue="1">
      <formula>IF(OR(X19="Partial",X19="partial"),TRUE,FALSE)=TRUE</formula>
    </cfRule>
    <cfRule type="expression" dxfId="2966" priority="3132" stopIfTrue="1">
      <formula>IF(OR(X19="Y",X19="y"),TRUE,FALSE)=TRUE</formula>
    </cfRule>
  </conditionalFormatting>
  <conditionalFormatting sqref="X19">
    <cfRule type="cellIs" dxfId="2965" priority="3129" stopIfTrue="1" operator="equal">
      <formula>"N/A"</formula>
    </cfRule>
  </conditionalFormatting>
  <conditionalFormatting sqref="H20">
    <cfRule type="expression" dxfId="2964" priority="3126" stopIfTrue="1">
      <formula>IF(OR(H20="Y",H20="y",H20="Partial",H20="partial"),TRUE,FALSE)=FALSE</formula>
    </cfRule>
    <cfRule type="expression" dxfId="2963" priority="3127" stopIfTrue="1">
      <formula>IF(OR(H20="Partial",H20="partial"),TRUE,FALSE)=TRUE</formula>
    </cfRule>
    <cfRule type="expression" dxfId="2962" priority="3128" stopIfTrue="1">
      <formula>IF(OR(H20="Y",H20="y"),TRUE,FALSE)=TRUE</formula>
    </cfRule>
  </conditionalFormatting>
  <conditionalFormatting sqref="H20">
    <cfRule type="cellIs" dxfId="2961" priority="3125" stopIfTrue="1" operator="equal">
      <formula>"N/A"</formula>
    </cfRule>
  </conditionalFormatting>
  <conditionalFormatting sqref="I20">
    <cfRule type="expression" dxfId="2960" priority="3122" stopIfTrue="1">
      <formula>IF(OR(I20="Y",I20="y",I20="Partial",I20="partial"),TRUE,FALSE)=FALSE</formula>
    </cfRule>
    <cfRule type="expression" dxfId="2959" priority="3123" stopIfTrue="1">
      <formula>IF(OR(I20="Partial",I20="partial"),TRUE,FALSE)=TRUE</formula>
    </cfRule>
    <cfRule type="expression" dxfId="2958" priority="3124" stopIfTrue="1">
      <formula>IF(OR(I20="Y",I20="y"),TRUE,FALSE)=TRUE</formula>
    </cfRule>
  </conditionalFormatting>
  <conditionalFormatting sqref="I20">
    <cfRule type="cellIs" dxfId="2957" priority="3121" stopIfTrue="1" operator="equal">
      <formula>"N/A"</formula>
    </cfRule>
  </conditionalFormatting>
  <conditionalFormatting sqref="J20">
    <cfRule type="expression" dxfId="2956" priority="3118" stopIfTrue="1">
      <formula>IF(OR(J20="Y",J20="y",J20="Partial",J20="partial"),TRUE,FALSE)=FALSE</formula>
    </cfRule>
    <cfRule type="expression" dxfId="2955" priority="3119" stopIfTrue="1">
      <formula>IF(OR(J20="Partial",J20="partial"),TRUE,FALSE)=TRUE</formula>
    </cfRule>
    <cfRule type="expression" dxfId="2954" priority="3120" stopIfTrue="1">
      <formula>IF(OR(J20="Y",J20="y"),TRUE,FALSE)=TRUE</formula>
    </cfRule>
  </conditionalFormatting>
  <conditionalFormatting sqref="J20">
    <cfRule type="cellIs" dxfId="2953" priority="3117" stopIfTrue="1" operator="equal">
      <formula>"N/A"</formula>
    </cfRule>
  </conditionalFormatting>
  <conditionalFormatting sqref="K20">
    <cfRule type="expression" dxfId="2952" priority="3114" stopIfTrue="1">
      <formula>IF(OR(K20="Y",K20="y",K20="Partial",K20="partial"),TRUE,FALSE)=FALSE</formula>
    </cfRule>
    <cfRule type="expression" dxfId="2951" priority="3115" stopIfTrue="1">
      <formula>IF(OR(K20="Partial",K20="partial"),TRUE,FALSE)=TRUE</formula>
    </cfRule>
    <cfRule type="expression" dxfId="2950" priority="3116" stopIfTrue="1">
      <formula>IF(OR(K20="Y",K20="y"),TRUE,FALSE)=TRUE</formula>
    </cfRule>
  </conditionalFormatting>
  <conditionalFormatting sqref="K20">
    <cfRule type="cellIs" dxfId="2949" priority="3113" stopIfTrue="1" operator="equal">
      <formula>"N/A"</formula>
    </cfRule>
  </conditionalFormatting>
  <conditionalFormatting sqref="L20">
    <cfRule type="expression" dxfId="2948" priority="3110" stopIfTrue="1">
      <formula>IF(OR(L20="Y",L20="y",L20="Partial",L20="partial"),TRUE,FALSE)=FALSE</formula>
    </cfRule>
    <cfRule type="expression" dxfId="2947" priority="3111" stopIfTrue="1">
      <formula>IF(OR(L20="Partial",L20="partial"),TRUE,FALSE)=TRUE</formula>
    </cfRule>
    <cfRule type="expression" dxfId="2946" priority="3112" stopIfTrue="1">
      <formula>IF(OR(L20="Y",L20="y"),TRUE,FALSE)=TRUE</formula>
    </cfRule>
  </conditionalFormatting>
  <conditionalFormatting sqref="L20">
    <cfRule type="cellIs" dxfId="2945" priority="3109" stopIfTrue="1" operator="equal">
      <formula>"N/A"</formula>
    </cfRule>
  </conditionalFormatting>
  <conditionalFormatting sqref="M20">
    <cfRule type="expression" dxfId="2944" priority="3106" stopIfTrue="1">
      <formula>IF(OR(M20="Y",M20="y",M20="Partial",M20="partial"),TRUE,FALSE)=FALSE</formula>
    </cfRule>
    <cfRule type="expression" dxfId="2943" priority="3107" stopIfTrue="1">
      <formula>IF(OR(M20="Partial",M20="partial"),TRUE,FALSE)=TRUE</formula>
    </cfRule>
    <cfRule type="expression" dxfId="2942" priority="3108" stopIfTrue="1">
      <formula>IF(OR(M20="Y",M20="y"),TRUE,FALSE)=TRUE</formula>
    </cfRule>
  </conditionalFormatting>
  <conditionalFormatting sqref="M20">
    <cfRule type="cellIs" dxfId="2941" priority="3105" stopIfTrue="1" operator="equal">
      <formula>"N/A"</formula>
    </cfRule>
  </conditionalFormatting>
  <conditionalFormatting sqref="N20">
    <cfRule type="expression" dxfId="2940" priority="3102" stopIfTrue="1">
      <formula>IF(OR(N20="Y",N20="y",N20="Partial",N20="partial"),TRUE,FALSE)=FALSE</formula>
    </cfRule>
    <cfRule type="expression" dxfId="2939" priority="3103" stopIfTrue="1">
      <formula>IF(OR(N20="Partial",N20="partial"),TRUE,FALSE)=TRUE</formula>
    </cfRule>
    <cfRule type="expression" dxfId="2938" priority="3104" stopIfTrue="1">
      <formula>IF(OR(N20="Y",N20="y"),TRUE,FALSE)=TRUE</formula>
    </cfRule>
  </conditionalFormatting>
  <conditionalFormatting sqref="N20">
    <cfRule type="cellIs" dxfId="2937" priority="3101" stopIfTrue="1" operator="equal">
      <formula>"N/A"</formula>
    </cfRule>
  </conditionalFormatting>
  <conditionalFormatting sqref="O20">
    <cfRule type="expression" dxfId="2936" priority="3098" stopIfTrue="1">
      <formula>IF(OR(O20="Y",O20="y",O20="Partial",O20="partial"),TRUE,FALSE)=FALSE</formula>
    </cfRule>
    <cfRule type="expression" dxfId="2935" priority="3099" stopIfTrue="1">
      <formula>IF(OR(O20="Partial",O20="partial"),TRUE,FALSE)=TRUE</formula>
    </cfRule>
    <cfRule type="expression" dxfId="2934" priority="3100" stopIfTrue="1">
      <formula>IF(OR(O20="Y",O20="y"),TRUE,FALSE)=TRUE</formula>
    </cfRule>
  </conditionalFormatting>
  <conditionalFormatting sqref="O20">
    <cfRule type="cellIs" dxfId="2933" priority="3097" stopIfTrue="1" operator="equal">
      <formula>"N/A"</formula>
    </cfRule>
  </conditionalFormatting>
  <conditionalFormatting sqref="P20">
    <cfRule type="expression" dxfId="2932" priority="3094" stopIfTrue="1">
      <formula>IF(OR(P20="Y",P20="y",P20="Partial",P20="partial"),TRUE,FALSE)=FALSE</formula>
    </cfRule>
    <cfRule type="expression" dxfId="2931" priority="3095" stopIfTrue="1">
      <formula>IF(OR(P20="Partial",P20="partial"),TRUE,FALSE)=TRUE</formula>
    </cfRule>
    <cfRule type="expression" dxfId="2930" priority="3096" stopIfTrue="1">
      <formula>IF(OR(P20="Y",P20="y"),TRUE,FALSE)=TRUE</formula>
    </cfRule>
  </conditionalFormatting>
  <conditionalFormatting sqref="P20">
    <cfRule type="cellIs" dxfId="2929" priority="3093" stopIfTrue="1" operator="equal">
      <formula>"N/A"</formula>
    </cfRule>
  </conditionalFormatting>
  <conditionalFormatting sqref="R20">
    <cfRule type="expression" dxfId="2928" priority="3086" stopIfTrue="1">
      <formula>IF(OR(R20="Y",R20="y",R20="Partial",R20="partial"),TRUE,FALSE)=FALSE</formula>
    </cfRule>
    <cfRule type="expression" dxfId="2927" priority="3087" stopIfTrue="1">
      <formula>IF(OR(R20="Partial",R20="partial"),TRUE,FALSE)=TRUE</formula>
    </cfRule>
    <cfRule type="expression" dxfId="2926" priority="3088" stopIfTrue="1">
      <formula>IF(OR(R20="Y",R20="y"),TRUE,FALSE)=TRUE</formula>
    </cfRule>
  </conditionalFormatting>
  <conditionalFormatting sqref="R20">
    <cfRule type="cellIs" dxfId="2925" priority="3085" stopIfTrue="1" operator="equal">
      <formula>"N/A"</formula>
    </cfRule>
  </conditionalFormatting>
  <conditionalFormatting sqref="S20">
    <cfRule type="expression" dxfId="2924" priority="3082" stopIfTrue="1">
      <formula>IF(OR(S20="Y",S20="y",S20="Partial",S20="partial"),TRUE,FALSE)=FALSE</formula>
    </cfRule>
    <cfRule type="expression" dxfId="2923" priority="3083" stopIfTrue="1">
      <formula>IF(OR(S20="Partial",S20="partial"),TRUE,FALSE)=TRUE</formula>
    </cfRule>
    <cfRule type="expression" dxfId="2922" priority="3084" stopIfTrue="1">
      <formula>IF(OR(S20="Y",S20="y"),TRUE,FALSE)=TRUE</formula>
    </cfRule>
  </conditionalFormatting>
  <conditionalFormatting sqref="S20">
    <cfRule type="cellIs" dxfId="2921" priority="3081" stopIfTrue="1" operator="equal">
      <formula>"N/A"</formula>
    </cfRule>
  </conditionalFormatting>
  <conditionalFormatting sqref="T20">
    <cfRule type="expression" dxfId="2920" priority="3078" stopIfTrue="1">
      <formula>IF(OR(T20="Y",T20="y",T20="Partial",T20="partial"),TRUE,FALSE)=FALSE</formula>
    </cfRule>
    <cfRule type="expression" dxfId="2919" priority="3079" stopIfTrue="1">
      <formula>IF(OR(T20="Partial",T20="partial"),TRUE,FALSE)=TRUE</formula>
    </cfRule>
    <cfRule type="expression" dxfId="2918" priority="3080" stopIfTrue="1">
      <formula>IF(OR(T20="Y",T20="y"),TRUE,FALSE)=TRUE</formula>
    </cfRule>
  </conditionalFormatting>
  <conditionalFormatting sqref="T20">
    <cfRule type="cellIs" dxfId="2917" priority="3077" stopIfTrue="1" operator="equal">
      <formula>"N/A"</formula>
    </cfRule>
  </conditionalFormatting>
  <conditionalFormatting sqref="U20">
    <cfRule type="expression" dxfId="2916" priority="3074" stopIfTrue="1">
      <formula>IF(OR(U20="Y",U20="y",U20="Partial",U20="partial"),TRUE,FALSE)=FALSE</formula>
    </cfRule>
    <cfRule type="expression" dxfId="2915" priority="3075" stopIfTrue="1">
      <formula>IF(OR(U20="Partial",U20="partial"),TRUE,FALSE)=TRUE</formula>
    </cfRule>
    <cfRule type="expression" dxfId="2914" priority="3076" stopIfTrue="1">
      <formula>IF(OR(U20="Y",U20="y"),TRUE,FALSE)=TRUE</formula>
    </cfRule>
  </conditionalFormatting>
  <conditionalFormatting sqref="U20">
    <cfRule type="cellIs" dxfId="2913" priority="3073" stopIfTrue="1" operator="equal">
      <formula>"N/A"</formula>
    </cfRule>
  </conditionalFormatting>
  <conditionalFormatting sqref="V20">
    <cfRule type="expression" dxfId="2912" priority="3070" stopIfTrue="1">
      <formula>IF(OR(V20="Y",V20="y",V20="Partial",V20="partial"),TRUE,FALSE)=FALSE</formula>
    </cfRule>
    <cfRule type="expression" dxfId="2911" priority="3071" stopIfTrue="1">
      <formula>IF(OR(V20="Partial",V20="partial"),TRUE,FALSE)=TRUE</formula>
    </cfRule>
    <cfRule type="expression" dxfId="2910" priority="3072" stopIfTrue="1">
      <formula>IF(OR(V20="Y",V20="y"),TRUE,FALSE)=TRUE</formula>
    </cfRule>
  </conditionalFormatting>
  <conditionalFormatting sqref="V20">
    <cfRule type="cellIs" dxfId="2909" priority="3069" stopIfTrue="1" operator="equal">
      <formula>"N/A"</formula>
    </cfRule>
  </conditionalFormatting>
  <conditionalFormatting sqref="W20">
    <cfRule type="expression" dxfId="2908" priority="3066" stopIfTrue="1">
      <formula>IF(OR(W20="Y",W20="y",W20="Partial",W20="partial"),TRUE,FALSE)=FALSE</formula>
    </cfRule>
    <cfRule type="expression" dxfId="2907" priority="3067" stopIfTrue="1">
      <formula>IF(OR(W20="Partial",W20="partial"),TRUE,FALSE)=TRUE</formula>
    </cfRule>
    <cfRule type="expression" dxfId="2906" priority="3068" stopIfTrue="1">
      <formula>IF(OR(W20="Y",W20="y"),TRUE,FALSE)=TRUE</formula>
    </cfRule>
  </conditionalFormatting>
  <conditionalFormatting sqref="W20">
    <cfRule type="cellIs" dxfId="2905" priority="3065" stopIfTrue="1" operator="equal">
      <formula>"N/A"</formula>
    </cfRule>
  </conditionalFormatting>
  <conditionalFormatting sqref="X20">
    <cfRule type="expression" dxfId="2904" priority="3062" stopIfTrue="1">
      <formula>IF(OR(X20="Y",X20="y",X20="Partial",X20="partial"),TRUE,FALSE)=FALSE</formula>
    </cfRule>
    <cfRule type="expression" dxfId="2903" priority="3063" stopIfTrue="1">
      <formula>IF(OR(X20="Partial",X20="partial"),TRUE,FALSE)=TRUE</formula>
    </cfRule>
    <cfRule type="expression" dxfId="2902" priority="3064" stopIfTrue="1">
      <formula>IF(OR(X20="Y",X20="y"),TRUE,FALSE)=TRUE</formula>
    </cfRule>
  </conditionalFormatting>
  <conditionalFormatting sqref="X20">
    <cfRule type="cellIs" dxfId="2901" priority="3061" stopIfTrue="1" operator="equal">
      <formula>"N/A"</formula>
    </cfRule>
  </conditionalFormatting>
  <conditionalFormatting sqref="H21">
    <cfRule type="expression" dxfId="2900" priority="3058" stopIfTrue="1">
      <formula>IF(OR(H21="Y",H21="y",H21="Partial",H21="partial"),TRUE,FALSE)=FALSE</formula>
    </cfRule>
    <cfRule type="expression" dxfId="2899" priority="3059" stopIfTrue="1">
      <formula>IF(OR(H21="Partial",H21="partial"),TRUE,FALSE)=TRUE</formula>
    </cfRule>
    <cfRule type="expression" dxfId="2898" priority="3060" stopIfTrue="1">
      <formula>IF(OR(H21="Y",H21="y"),TRUE,FALSE)=TRUE</formula>
    </cfRule>
  </conditionalFormatting>
  <conditionalFormatting sqref="H21">
    <cfRule type="cellIs" dxfId="2897" priority="3057" stopIfTrue="1" operator="equal">
      <formula>"N/A"</formula>
    </cfRule>
  </conditionalFormatting>
  <conditionalFormatting sqref="I21">
    <cfRule type="expression" dxfId="2896" priority="3054" stopIfTrue="1">
      <formula>IF(OR(I21="Y",I21="y",I21="Partial",I21="partial"),TRUE,FALSE)=FALSE</formula>
    </cfRule>
    <cfRule type="expression" dxfId="2895" priority="3055" stopIfTrue="1">
      <formula>IF(OR(I21="Partial",I21="partial"),TRUE,FALSE)=TRUE</formula>
    </cfRule>
    <cfRule type="expression" dxfId="2894" priority="3056" stopIfTrue="1">
      <formula>IF(OR(I21="Y",I21="y"),TRUE,FALSE)=TRUE</formula>
    </cfRule>
  </conditionalFormatting>
  <conditionalFormatting sqref="I21">
    <cfRule type="cellIs" dxfId="2893" priority="3053" stopIfTrue="1" operator="equal">
      <formula>"N/A"</formula>
    </cfRule>
  </conditionalFormatting>
  <conditionalFormatting sqref="J21">
    <cfRule type="expression" dxfId="2892" priority="3050" stopIfTrue="1">
      <formula>IF(OR(J21="Y",J21="y",J21="Partial",J21="partial"),TRUE,FALSE)=FALSE</formula>
    </cfRule>
    <cfRule type="expression" dxfId="2891" priority="3051" stopIfTrue="1">
      <formula>IF(OR(J21="Partial",J21="partial"),TRUE,FALSE)=TRUE</formula>
    </cfRule>
    <cfRule type="expression" dxfId="2890" priority="3052" stopIfTrue="1">
      <formula>IF(OR(J21="Y",J21="y"),TRUE,FALSE)=TRUE</formula>
    </cfRule>
  </conditionalFormatting>
  <conditionalFormatting sqref="J21">
    <cfRule type="cellIs" dxfId="2889" priority="3049" stopIfTrue="1" operator="equal">
      <formula>"N/A"</formula>
    </cfRule>
  </conditionalFormatting>
  <conditionalFormatting sqref="K21">
    <cfRule type="expression" dxfId="2888" priority="3046" stopIfTrue="1">
      <formula>IF(OR(K21="Y",K21="y",K21="Partial",K21="partial"),TRUE,FALSE)=FALSE</formula>
    </cfRule>
    <cfRule type="expression" dxfId="2887" priority="3047" stopIfTrue="1">
      <formula>IF(OR(K21="Partial",K21="partial"),TRUE,FALSE)=TRUE</formula>
    </cfRule>
    <cfRule type="expression" dxfId="2886" priority="3048" stopIfTrue="1">
      <formula>IF(OR(K21="Y",K21="y"),TRUE,FALSE)=TRUE</formula>
    </cfRule>
  </conditionalFormatting>
  <conditionalFormatting sqref="K21">
    <cfRule type="cellIs" dxfId="2885" priority="3045" stopIfTrue="1" operator="equal">
      <formula>"N/A"</formula>
    </cfRule>
  </conditionalFormatting>
  <conditionalFormatting sqref="L21">
    <cfRule type="expression" dxfId="2884" priority="3042" stopIfTrue="1">
      <formula>IF(OR(L21="Y",L21="y",L21="Partial",L21="partial"),TRUE,FALSE)=FALSE</formula>
    </cfRule>
    <cfRule type="expression" dxfId="2883" priority="3043" stopIfTrue="1">
      <formula>IF(OR(L21="Partial",L21="partial"),TRUE,FALSE)=TRUE</formula>
    </cfRule>
    <cfRule type="expression" dxfId="2882" priority="3044" stopIfTrue="1">
      <formula>IF(OR(L21="Y",L21="y"),TRUE,FALSE)=TRUE</formula>
    </cfRule>
  </conditionalFormatting>
  <conditionalFormatting sqref="L21">
    <cfRule type="cellIs" dxfId="2881" priority="3041" stopIfTrue="1" operator="equal">
      <formula>"N/A"</formula>
    </cfRule>
  </conditionalFormatting>
  <conditionalFormatting sqref="M21">
    <cfRule type="expression" dxfId="2880" priority="3038" stopIfTrue="1">
      <formula>IF(OR(M21="Y",M21="y",M21="Partial",M21="partial"),TRUE,FALSE)=FALSE</formula>
    </cfRule>
    <cfRule type="expression" dxfId="2879" priority="3039" stopIfTrue="1">
      <formula>IF(OR(M21="Partial",M21="partial"),TRUE,FALSE)=TRUE</formula>
    </cfRule>
    <cfRule type="expression" dxfId="2878" priority="3040" stopIfTrue="1">
      <formula>IF(OR(M21="Y",M21="y"),TRUE,FALSE)=TRUE</formula>
    </cfRule>
  </conditionalFormatting>
  <conditionalFormatting sqref="M21">
    <cfRule type="cellIs" dxfId="2877" priority="3037" stopIfTrue="1" operator="equal">
      <formula>"N/A"</formula>
    </cfRule>
  </conditionalFormatting>
  <conditionalFormatting sqref="N21">
    <cfRule type="expression" dxfId="2876" priority="3034" stopIfTrue="1">
      <formula>IF(OR(N21="Y",N21="y",N21="Partial",N21="partial"),TRUE,FALSE)=FALSE</formula>
    </cfRule>
    <cfRule type="expression" dxfId="2875" priority="3035" stopIfTrue="1">
      <formula>IF(OR(N21="Partial",N21="partial"),TRUE,FALSE)=TRUE</formula>
    </cfRule>
    <cfRule type="expression" dxfId="2874" priority="3036" stopIfTrue="1">
      <formula>IF(OR(N21="Y",N21="y"),TRUE,FALSE)=TRUE</formula>
    </cfRule>
  </conditionalFormatting>
  <conditionalFormatting sqref="N21">
    <cfRule type="cellIs" dxfId="2873" priority="3033" stopIfTrue="1" operator="equal">
      <formula>"N/A"</formula>
    </cfRule>
  </conditionalFormatting>
  <conditionalFormatting sqref="O21">
    <cfRule type="expression" dxfId="2872" priority="3030" stopIfTrue="1">
      <formula>IF(OR(O21="Y",O21="y",O21="Partial",O21="partial"),TRUE,FALSE)=FALSE</formula>
    </cfRule>
    <cfRule type="expression" dxfId="2871" priority="3031" stopIfTrue="1">
      <formula>IF(OR(O21="Partial",O21="partial"),TRUE,FALSE)=TRUE</formula>
    </cfRule>
    <cfRule type="expression" dxfId="2870" priority="3032" stopIfTrue="1">
      <formula>IF(OR(O21="Y",O21="y"),TRUE,FALSE)=TRUE</formula>
    </cfRule>
  </conditionalFormatting>
  <conditionalFormatting sqref="O21">
    <cfRule type="cellIs" dxfId="2869" priority="3029" stopIfTrue="1" operator="equal">
      <formula>"N/A"</formula>
    </cfRule>
  </conditionalFormatting>
  <conditionalFormatting sqref="P21">
    <cfRule type="expression" dxfId="2868" priority="3026" stopIfTrue="1">
      <formula>IF(OR(P21="Y",P21="y",P21="Partial",P21="partial"),TRUE,FALSE)=FALSE</formula>
    </cfRule>
    <cfRule type="expression" dxfId="2867" priority="3027" stopIfTrue="1">
      <formula>IF(OR(P21="Partial",P21="partial"),TRUE,FALSE)=TRUE</formula>
    </cfRule>
    <cfRule type="expression" dxfId="2866" priority="3028" stopIfTrue="1">
      <formula>IF(OR(P21="Y",P21="y"),TRUE,FALSE)=TRUE</formula>
    </cfRule>
  </conditionalFormatting>
  <conditionalFormatting sqref="P21">
    <cfRule type="cellIs" dxfId="2865" priority="3025" stopIfTrue="1" operator="equal">
      <formula>"N/A"</formula>
    </cfRule>
  </conditionalFormatting>
  <conditionalFormatting sqref="R21">
    <cfRule type="expression" dxfId="2864" priority="3018" stopIfTrue="1">
      <formula>IF(OR(R21="Y",R21="y",R21="Partial",R21="partial"),TRUE,FALSE)=FALSE</formula>
    </cfRule>
    <cfRule type="expression" dxfId="2863" priority="3019" stopIfTrue="1">
      <formula>IF(OR(R21="Partial",R21="partial"),TRUE,FALSE)=TRUE</formula>
    </cfRule>
    <cfRule type="expression" dxfId="2862" priority="3020" stopIfTrue="1">
      <formula>IF(OR(R21="Y",R21="y"),TRUE,FALSE)=TRUE</formula>
    </cfRule>
  </conditionalFormatting>
  <conditionalFormatting sqref="R21">
    <cfRule type="cellIs" dxfId="2861" priority="3017" stopIfTrue="1" operator="equal">
      <formula>"N/A"</formula>
    </cfRule>
  </conditionalFormatting>
  <conditionalFormatting sqref="S21">
    <cfRule type="expression" dxfId="2860" priority="3014" stopIfTrue="1">
      <formula>IF(OR(S21="Y",S21="y",S21="Partial",S21="partial"),TRUE,FALSE)=FALSE</formula>
    </cfRule>
    <cfRule type="expression" dxfId="2859" priority="3015" stopIfTrue="1">
      <formula>IF(OR(S21="Partial",S21="partial"),TRUE,FALSE)=TRUE</formula>
    </cfRule>
    <cfRule type="expression" dxfId="2858" priority="3016" stopIfTrue="1">
      <formula>IF(OR(S21="Y",S21="y"),TRUE,FALSE)=TRUE</formula>
    </cfRule>
  </conditionalFormatting>
  <conditionalFormatting sqref="S21">
    <cfRule type="cellIs" dxfId="2857" priority="3013" stopIfTrue="1" operator="equal">
      <formula>"N/A"</formula>
    </cfRule>
  </conditionalFormatting>
  <conditionalFormatting sqref="T21">
    <cfRule type="expression" dxfId="2856" priority="3010" stopIfTrue="1">
      <formula>IF(OR(T21="Y",T21="y",T21="Partial",T21="partial"),TRUE,FALSE)=FALSE</formula>
    </cfRule>
    <cfRule type="expression" dxfId="2855" priority="3011" stopIfTrue="1">
      <formula>IF(OR(T21="Partial",T21="partial"),TRUE,FALSE)=TRUE</formula>
    </cfRule>
    <cfRule type="expression" dxfId="2854" priority="3012" stopIfTrue="1">
      <formula>IF(OR(T21="Y",T21="y"),TRUE,FALSE)=TRUE</formula>
    </cfRule>
  </conditionalFormatting>
  <conditionalFormatting sqref="T21">
    <cfRule type="cellIs" dxfId="2853" priority="3009" stopIfTrue="1" operator="equal">
      <formula>"N/A"</formula>
    </cfRule>
  </conditionalFormatting>
  <conditionalFormatting sqref="U21">
    <cfRule type="expression" dxfId="2852" priority="3006" stopIfTrue="1">
      <formula>IF(OR(U21="Y",U21="y",U21="Partial",U21="partial"),TRUE,FALSE)=FALSE</formula>
    </cfRule>
    <cfRule type="expression" dxfId="2851" priority="3007" stopIfTrue="1">
      <formula>IF(OR(U21="Partial",U21="partial"),TRUE,FALSE)=TRUE</formula>
    </cfRule>
    <cfRule type="expression" dxfId="2850" priority="3008" stopIfTrue="1">
      <formula>IF(OR(U21="Y",U21="y"),TRUE,FALSE)=TRUE</formula>
    </cfRule>
  </conditionalFormatting>
  <conditionalFormatting sqref="U21">
    <cfRule type="cellIs" dxfId="2849" priority="3005" stopIfTrue="1" operator="equal">
      <formula>"N/A"</formula>
    </cfRule>
  </conditionalFormatting>
  <conditionalFormatting sqref="V21">
    <cfRule type="expression" dxfId="2848" priority="3002" stopIfTrue="1">
      <formula>IF(OR(V21="Y",V21="y",V21="Partial",V21="partial"),TRUE,FALSE)=FALSE</formula>
    </cfRule>
    <cfRule type="expression" dxfId="2847" priority="3003" stopIfTrue="1">
      <formula>IF(OR(V21="Partial",V21="partial"),TRUE,FALSE)=TRUE</formula>
    </cfRule>
    <cfRule type="expression" dxfId="2846" priority="3004" stopIfTrue="1">
      <formula>IF(OR(V21="Y",V21="y"),TRUE,FALSE)=TRUE</formula>
    </cfRule>
  </conditionalFormatting>
  <conditionalFormatting sqref="V21">
    <cfRule type="cellIs" dxfId="2845" priority="3001" stopIfTrue="1" operator="equal">
      <formula>"N/A"</formula>
    </cfRule>
  </conditionalFormatting>
  <conditionalFormatting sqref="W21">
    <cfRule type="expression" dxfId="2844" priority="2998" stopIfTrue="1">
      <formula>IF(OR(W21="Y",W21="y",W21="Partial",W21="partial"),TRUE,FALSE)=FALSE</formula>
    </cfRule>
    <cfRule type="expression" dxfId="2843" priority="2999" stopIfTrue="1">
      <formula>IF(OR(W21="Partial",W21="partial"),TRUE,FALSE)=TRUE</formula>
    </cfRule>
    <cfRule type="expression" dxfId="2842" priority="3000" stopIfTrue="1">
      <formula>IF(OR(W21="Y",W21="y"),TRUE,FALSE)=TRUE</formula>
    </cfRule>
  </conditionalFormatting>
  <conditionalFormatting sqref="W21">
    <cfRule type="cellIs" dxfId="2841" priority="2997" stopIfTrue="1" operator="equal">
      <formula>"N/A"</formula>
    </cfRule>
  </conditionalFormatting>
  <conditionalFormatting sqref="X21">
    <cfRule type="expression" dxfId="2840" priority="2994" stopIfTrue="1">
      <formula>IF(OR(X21="Y",X21="y",X21="Partial",X21="partial"),TRUE,FALSE)=FALSE</formula>
    </cfRule>
    <cfRule type="expression" dxfId="2839" priority="2995" stopIfTrue="1">
      <formula>IF(OR(X21="Partial",X21="partial"),TRUE,FALSE)=TRUE</formula>
    </cfRule>
    <cfRule type="expression" dxfId="2838" priority="2996" stopIfTrue="1">
      <formula>IF(OR(X21="Y",X21="y"),TRUE,FALSE)=TRUE</formula>
    </cfRule>
  </conditionalFormatting>
  <conditionalFormatting sqref="X21">
    <cfRule type="cellIs" dxfId="2837" priority="2993" stopIfTrue="1" operator="equal">
      <formula>"N/A"</formula>
    </cfRule>
  </conditionalFormatting>
  <conditionalFormatting sqref="H22">
    <cfRule type="expression" dxfId="2836" priority="2990" stopIfTrue="1">
      <formula>IF(OR(H22="Y",H22="y",H22="Partial",H22="partial"),TRUE,FALSE)=FALSE</formula>
    </cfRule>
    <cfRule type="expression" dxfId="2835" priority="2991" stopIfTrue="1">
      <formula>IF(OR(H22="Partial",H22="partial"),TRUE,FALSE)=TRUE</formula>
    </cfRule>
    <cfRule type="expression" dxfId="2834" priority="2992" stopIfTrue="1">
      <formula>IF(OR(H22="Y",H22="y"),TRUE,FALSE)=TRUE</formula>
    </cfRule>
  </conditionalFormatting>
  <conditionalFormatting sqref="H22">
    <cfRule type="cellIs" dxfId="2833" priority="2989" stopIfTrue="1" operator="equal">
      <formula>"N/A"</formula>
    </cfRule>
  </conditionalFormatting>
  <conditionalFormatting sqref="I22">
    <cfRule type="expression" dxfId="2832" priority="2986" stopIfTrue="1">
      <formula>IF(OR(I22="Y",I22="y",I22="Partial",I22="partial"),TRUE,FALSE)=FALSE</formula>
    </cfRule>
    <cfRule type="expression" dxfId="2831" priority="2987" stopIfTrue="1">
      <formula>IF(OR(I22="Partial",I22="partial"),TRUE,FALSE)=TRUE</formula>
    </cfRule>
    <cfRule type="expression" dxfId="2830" priority="2988" stopIfTrue="1">
      <formula>IF(OR(I22="Y",I22="y"),TRUE,FALSE)=TRUE</formula>
    </cfRule>
  </conditionalFormatting>
  <conditionalFormatting sqref="I22">
    <cfRule type="cellIs" dxfId="2829" priority="2985" stopIfTrue="1" operator="equal">
      <formula>"N/A"</formula>
    </cfRule>
  </conditionalFormatting>
  <conditionalFormatting sqref="J22">
    <cfRule type="expression" dxfId="2828" priority="2982" stopIfTrue="1">
      <formula>IF(OR(J22="Y",J22="y",J22="Partial",J22="partial"),TRUE,FALSE)=FALSE</formula>
    </cfRule>
    <cfRule type="expression" dxfId="2827" priority="2983" stopIfTrue="1">
      <formula>IF(OR(J22="Partial",J22="partial"),TRUE,FALSE)=TRUE</formula>
    </cfRule>
    <cfRule type="expression" dxfId="2826" priority="2984" stopIfTrue="1">
      <formula>IF(OR(J22="Y",J22="y"),TRUE,FALSE)=TRUE</formula>
    </cfRule>
  </conditionalFormatting>
  <conditionalFormatting sqref="J22">
    <cfRule type="cellIs" dxfId="2825" priority="2981" stopIfTrue="1" operator="equal">
      <formula>"N/A"</formula>
    </cfRule>
  </conditionalFormatting>
  <conditionalFormatting sqref="K22">
    <cfRule type="expression" dxfId="2824" priority="2978" stopIfTrue="1">
      <formula>IF(OR(K22="Y",K22="y",K22="Partial",K22="partial"),TRUE,FALSE)=FALSE</formula>
    </cfRule>
    <cfRule type="expression" dxfId="2823" priority="2979" stopIfTrue="1">
      <formula>IF(OR(K22="Partial",K22="partial"),TRUE,FALSE)=TRUE</formula>
    </cfRule>
    <cfRule type="expression" dxfId="2822" priority="2980" stopIfTrue="1">
      <formula>IF(OR(K22="Y",K22="y"),TRUE,FALSE)=TRUE</formula>
    </cfRule>
  </conditionalFormatting>
  <conditionalFormatting sqref="K22">
    <cfRule type="cellIs" dxfId="2821" priority="2977" stopIfTrue="1" operator="equal">
      <formula>"N/A"</formula>
    </cfRule>
  </conditionalFormatting>
  <conditionalFormatting sqref="L22">
    <cfRule type="expression" dxfId="2820" priority="2974" stopIfTrue="1">
      <formula>IF(OR(L22="Y",L22="y",L22="Partial",L22="partial"),TRUE,FALSE)=FALSE</formula>
    </cfRule>
    <cfRule type="expression" dxfId="2819" priority="2975" stopIfTrue="1">
      <formula>IF(OR(L22="Partial",L22="partial"),TRUE,FALSE)=TRUE</formula>
    </cfRule>
    <cfRule type="expression" dxfId="2818" priority="2976" stopIfTrue="1">
      <formula>IF(OR(L22="Y",L22="y"),TRUE,FALSE)=TRUE</formula>
    </cfRule>
  </conditionalFormatting>
  <conditionalFormatting sqref="L22">
    <cfRule type="cellIs" dxfId="2817" priority="2973" stopIfTrue="1" operator="equal">
      <formula>"N/A"</formula>
    </cfRule>
  </conditionalFormatting>
  <conditionalFormatting sqref="M22">
    <cfRule type="expression" dxfId="2816" priority="2970" stopIfTrue="1">
      <formula>IF(OR(M22="Y",M22="y",M22="Partial",M22="partial"),TRUE,FALSE)=FALSE</formula>
    </cfRule>
    <cfRule type="expression" dxfId="2815" priority="2971" stopIfTrue="1">
      <formula>IF(OR(M22="Partial",M22="partial"),TRUE,FALSE)=TRUE</formula>
    </cfRule>
    <cfRule type="expression" dxfId="2814" priority="2972" stopIfTrue="1">
      <formula>IF(OR(M22="Y",M22="y"),TRUE,FALSE)=TRUE</formula>
    </cfRule>
  </conditionalFormatting>
  <conditionalFormatting sqref="M22">
    <cfRule type="cellIs" dxfId="2813" priority="2969" stopIfTrue="1" operator="equal">
      <formula>"N/A"</formula>
    </cfRule>
  </conditionalFormatting>
  <conditionalFormatting sqref="N22">
    <cfRule type="expression" dxfId="2812" priority="2966" stopIfTrue="1">
      <formula>IF(OR(N22="Y",N22="y",N22="Partial",N22="partial"),TRUE,FALSE)=FALSE</formula>
    </cfRule>
    <cfRule type="expression" dxfId="2811" priority="2967" stopIfTrue="1">
      <formula>IF(OR(N22="Partial",N22="partial"),TRUE,FALSE)=TRUE</formula>
    </cfRule>
    <cfRule type="expression" dxfId="2810" priority="2968" stopIfTrue="1">
      <formula>IF(OR(N22="Y",N22="y"),TRUE,FALSE)=TRUE</formula>
    </cfRule>
  </conditionalFormatting>
  <conditionalFormatting sqref="N22">
    <cfRule type="cellIs" dxfId="2809" priority="2965" stopIfTrue="1" operator="equal">
      <formula>"N/A"</formula>
    </cfRule>
  </conditionalFormatting>
  <conditionalFormatting sqref="O22">
    <cfRule type="expression" dxfId="2808" priority="2962" stopIfTrue="1">
      <formula>IF(OR(O22="Y",O22="y",O22="Partial",O22="partial"),TRUE,FALSE)=FALSE</formula>
    </cfRule>
    <cfRule type="expression" dxfId="2807" priority="2963" stopIfTrue="1">
      <formula>IF(OR(O22="Partial",O22="partial"),TRUE,FALSE)=TRUE</formula>
    </cfRule>
    <cfRule type="expression" dxfId="2806" priority="2964" stopIfTrue="1">
      <formula>IF(OR(O22="Y",O22="y"),TRUE,FALSE)=TRUE</formula>
    </cfRule>
  </conditionalFormatting>
  <conditionalFormatting sqref="O22">
    <cfRule type="cellIs" dxfId="2805" priority="2961" stopIfTrue="1" operator="equal">
      <formula>"N/A"</formula>
    </cfRule>
  </conditionalFormatting>
  <conditionalFormatting sqref="P22">
    <cfRule type="expression" dxfId="2804" priority="2958" stopIfTrue="1">
      <formula>IF(OR(P22="Y",P22="y",P22="Partial",P22="partial"),TRUE,FALSE)=FALSE</formula>
    </cfRule>
    <cfRule type="expression" dxfId="2803" priority="2959" stopIfTrue="1">
      <formula>IF(OR(P22="Partial",P22="partial"),TRUE,FALSE)=TRUE</formula>
    </cfRule>
    <cfRule type="expression" dxfId="2802" priority="2960" stopIfTrue="1">
      <formula>IF(OR(P22="Y",P22="y"),TRUE,FALSE)=TRUE</formula>
    </cfRule>
  </conditionalFormatting>
  <conditionalFormatting sqref="P22">
    <cfRule type="cellIs" dxfId="2801" priority="2957" stopIfTrue="1" operator="equal">
      <formula>"N/A"</formula>
    </cfRule>
  </conditionalFormatting>
  <conditionalFormatting sqref="R22">
    <cfRule type="expression" dxfId="2800" priority="2950" stopIfTrue="1">
      <formula>IF(OR(R22="Y",R22="y",R22="Partial",R22="partial"),TRUE,FALSE)=FALSE</formula>
    </cfRule>
    <cfRule type="expression" dxfId="2799" priority="2951" stopIfTrue="1">
      <formula>IF(OR(R22="Partial",R22="partial"),TRUE,FALSE)=TRUE</formula>
    </cfRule>
    <cfRule type="expression" dxfId="2798" priority="2952" stopIfTrue="1">
      <formula>IF(OR(R22="Y",R22="y"),TRUE,FALSE)=TRUE</formula>
    </cfRule>
  </conditionalFormatting>
  <conditionalFormatting sqref="R22">
    <cfRule type="cellIs" dxfId="2797" priority="2949" stopIfTrue="1" operator="equal">
      <formula>"N/A"</formula>
    </cfRule>
  </conditionalFormatting>
  <conditionalFormatting sqref="S22">
    <cfRule type="expression" dxfId="2796" priority="2946" stopIfTrue="1">
      <formula>IF(OR(S22="Y",S22="y",S22="Partial",S22="partial"),TRUE,FALSE)=FALSE</formula>
    </cfRule>
    <cfRule type="expression" dxfId="2795" priority="2947" stopIfTrue="1">
      <formula>IF(OR(S22="Partial",S22="partial"),TRUE,FALSE)=TRUE</formula>
    </cfRule>
    <cfRule type="expression" dxfId="2794" priority="2948" stopIfTrue="1">
      <formula>IF(OR(S22="Y",S22="y"),TRUE,FALSE)=TRUE</formula>
    </cfRule>
  </conditionalFormatting>
  <conditionalFormatting sqref="S22">
    <cfRule type="cellIs" dxfId="2793" priority="2945" stopIfTrue="1" operator="equal">
      <formula>"N/A"</formula>
    </cfRule>
  </conditionalFormatting>
  <conditionalFormatting sqref="T22">
    <cfRule type="expression" dxfId="2792" priority="2942" stopIfTrue="1">
      <formula>IF(OR(T22="Y",T22="y",T22="Partial",T22="partial"),TRUE,FALSE)=FALSE</formula>
    </cfRule>
    <cfRule type="expression" dxfId="2791" priority="2943" stopIfTrue="1">
      <formula>IF(OR(T22="Partial",T22="partial"),TRUE,FALSE)=TRUE</formula>
    </cfRule>
    <cfRule type="expression" dxfId="2790" priority="2944" stopIfTrue="1">
      <formula>IF(OR(T22="Y",T22="y"),TRUE,FALSE)=TRUE</formula>
    </cfRule>
  </conditionalFormatting>
  <conditionalFormatting sqref="T22">
    <cfRule type="cellIs" dxfId="2789" priority="2941" stopIfTrue="1" operator="equal">
      <formula>"N/A"</formula>
    </cfRule>
  </conditionalFormatting>
  <conditionalFormatting sqref="U22">
    <cfRule type="expression" dxfId="2788" priority="2938" stopIfTrue="1">
      <formula>IF(OR(U22="Y",U22="y",U22="Partial",U22="partial"),TRUE,FALSE)=FALSE</formula>
    </cfRule>
    <cfRule type="expression" dxfId="2787" priority="2939" stopIfTrue="1">
      <formula>IF(OR(U22="Partial",U22="partial"),TRUE,FALSE)=TRUE</formula>
    </cfRule>
    <cfRule type="expression" dxfId="2786" priority="2940" stopIfTrue="1">
      <formula>IF(OR(U22="Y",U22="y"),TRUE,FALSE)=TRUE</formula>
    </cfRule>
  </conditionalFormatting>
  <conditionalFormatting sqref="U22">
    <cfRule type="cellIs" dxfId="2785" priority="2937" stopIfTrue="1" operator="equal">
      <formula>"N/A"</formula>
    </cfRule>
  </conditionalFormatting>
  <conditionalFormatting sqref="V22">
    <cfRule type="expression" dxfId="2784" priority="2934" stopIfTrue="1">
      <formula>IF(OR(V22="Y",V22="y",V22="Partial",V22="partial"),TRUE,FALSE)=FALSE</formula>
    </cfRule>
    <cfRule type="expression" dxfId="2783" priority="2935" stopIfTrue="1">
      <formula>IF(OR(V22="Partial",V22="partial"),TRUE,FALSE)=TRUE</formula>
    </cfRule>
    <cfRule type="expression" dxfId="2782" priority="2936" stopIfTrue="1">
      <formula>IF(OR(V22="Y",V22="y"),TRUE,FALSE)=TRUE</formula>
    </cfRule>
  </conditionalFormatting>
  <conditionalFormatting sqref="V22">
    <cfRule type="cellIs" dxfId="2781" priority="2933" stopIfTrue="1" operator="equal">
      <formula>"N/A"</formula>
    </cfRule>
  </conditionalFormatting>
  <conditionalFormatting sqref="W22">
    <cfRule type="expression" dxfId="2780" priority="2930" stopIfTrue="1">
      <formula>IF(OR(W22="Y",W22="y",W22="Partial",W22="partial"),TRUE,FALSE)=FALSE</formula>
    </cfRule>
    <cfRule type="expression" dxfId="2779" priority="2931" stopIfTrue="1">
      <formula>IF(OR(W22="Partial",W22="partial"),TRUE,FALSE)=TRUE</formula>
    </cfRule>
    <cfRule type="expression" dxfId="2778" priority="2932" stopIfTrue="1">
      <formula>IF(OR(W22="Y",W22="y"),TRUE,FALSE)=TRUE</formula>
    </cfRule>
  </conditionalFormatting>
  <conditionalFormatting sqref="W22">
    <cfRule type="cellIs" dxfId="2777" priority="2929" stopIfTrue="1" operator="equal">
      <formula>"N/A"</formula>
    </cfRule>
  </conditionalFormatting>
  <conditionalFormatting sqref="X22">
    <cfRule type="expression" dxfId="2776" priority="2926" stopIfTrue="1">
      <formula>IF(OR(X22="Y",X22="y",X22="Partial",X22="partial"),TRUE,FALSE)=FALSE</formula>
    </cfRule>
    <cfRule type="expression" dxfId="2775" priority="2927" stopIfTrue="1">
      <formula>IF(OR(X22="Partial",X22="partial"),TRUE,FALSE)=TRUE</formula>
    </cfRule>
    <cfRule type="expression" dxfId="2774" priority="2928" stopIfTrue="1">
      <formula>IF(OR(X22="Y",X22="y"),TRUE,FALSE)=TRUE</formula>
    </cfRule>
  </conditionalFormatting>
  <conditionalFormatting sqref="X22">
    <cfRule type="cellIs" dxfId="2773" priority="2925" stopIfTrue="1" operator="equal">
      <formula>"N/A"</formula>
    </cfRule>
  </conditionalFormatting>
  <conditionalFormatting sqref="H23">
    <cfRule type="expression" dxfId="2772" priority="2922" stopIfTrue="1">
      <formula>IF(OR(H23="Y",H23="y",H23="Partial",H23="partial"),TRUE,FALSE)=FALSE</formula>
    </cfRule>
    <cfRule type="expression" dxfId="2771" priority="2923" stopIfTrue="1">
      <formula>IF(OR(H23="Partial",H23="partial"),TRUE,FALSE)=TRUE</formula>
    </cfRule>
    <cfRule type="expression" dxfId="2770" priority="2924" stopIfTrue="1">
      <formula>IF(OR(H23="Y",H23="y"),TRUE,FALSE)=TRUE</formula>
    </cfRule>
  </conditionalFormatting>
  <conditionalFormatting sqref="H23">
    <cfRule type="cellIs" dxfId="2769" priority="2921" stopIfTrue="1" operator="equal">
      <formula>"N/A"</formula>
    </cfRule>
  </conditionalFormatting>
  <conditionalFormatting sqref="I23">
    <cfRule type="expression" dxfId="2768" priority="2918" stopIfTrue="1">
      <formula>IF(OR(I23="Y",I23="y",I23="Partial",I23="partial"),TRUE,FALSE)=FALSE</formula>
    </cfRule>
    <cfRule type="expression" dxfId="2767" priority="2919" stopIfTrue="1">
      <formula>IF(OR(I23="Partial",I23="partial"),TRUE,FALSE)=TRUE</formula>
    </cfRule>
    <cfRule type="expression" dxfId="2766" priority="2920" stopIfTrue="1">
      <formula>IF(OR(I23="Y",I23="y"),TRUE,FALSE)=TRUE</formula>
    </cfRule>
  </conditionalFormatting>
  <conditionalFormatting sqref="I23">
    <cfRule type="cellIs" dxfId="2765" priority="2917" stopIfTrue="1" operator="equal">
      <formula>"N/A"</formula>
    </cfRule>
  </conditionalFormatting>
  <conditionalFormatting sqref="J23">
    <cfRule type="expression" dxfId="2764" priority="2914" stopIfTrue="1">
      <formula>IF(OR(J23="Y",J23="y",J23="Partial",J23="partial"),TRUE,FALSE)=FALSE</formula>
    </cfRule>
    <cfRule type="expression" dxfId="2763" priority="2915" stopIfTrue="1">
      <formula>IF(OR(J23="Partial",J23="partial"),TRUE,FALSE)=TRUE</formula>
    </cfRule>
    <cfRule type="expression" dxfId="2762" priority="2916" stopIfTrue="1">
      <formula>IF(OR(J23="Y",J23="y"),TRUE,FALSE)=TRUE</formula>
    </cfRule>
  </conditionalFormatting>
  <conditionalFormatting sqref="J23">
    <cfRule type="cellIs" dxfId="2761" priority="2913" stopIfTrue="1" operator="equal">
      <formula>"N/A"</formula>
    </cfRule>
  </conditionalFormatting>
  <conditionalFormatting sqref="K23">
    <cfRule type="expression" dxfId="2760" priority="2910" stopIfTrue="1">
      <formula>IF(OR(K23="Y",K23="y",K23="Partial",K23="partial"),TRUE,FALSE)=FALSE</formula>
    </cfRule>
    <cfRule type="expression" dxfId="2759" priority="2911" stopIfTrue="1">
      <formula>IF(OR(K23="Partial",K23="partial"),TRUE,FALSE)=TRUE</formula>
    </cfRule>
    <cfRule type="expression" dxfId="2758" priority="2912" stopIfTrue="1">
      <formula>IF(OR(K23="Y",K23="y"),TRUE,FALSE)=TRUE</formula>
    </cfRule>
  </conditionalFormatting>
  <conditionalFormatting sqref="K23">
    <cfRule type="cellIs" dxfId="2757" priority="2909" stopIfTrue="1" operator="equal">
      <formula>"N/A"</formula>
    </cfRule>
  </conditionalFormatting>
  <conditionalFormatting sqref="L23">
    <cfRule type="expression" dxfId="2756" priority="2906" stopIfTrue="1">
      <formula>IF(OR(L23="Y",L23="y",L23="Partial",L23="partial"),TRUE,FALSE)=FALSE</formula>
    </cfRule>
    <cfRule type="expression" dxfId="2755" priority="2907" stopIfTrue="1">
      <formula>IF(OR(L23="Partial",L23="partial"),TRUE,FALSE)=TRUE</formula>
    </cfRule>
    <cfRule type="expression" dxfId="2754" priority="2908" stopIfTrue="1">
      <formula>IF(OR(L23="Y",L23="y"),TRUE,FALSE)=TRUE</formula>
    </cfRule>
  </conditionalFormatting>
  <conditionalFormatting sqref="L23">
    <cfRule type="cellIs" dxfId="2753" priority="2905" stopIfTrue="1" operator="equal">
      <formula>"N/A"</formula>
    </cfRule>
  </conditionalFormatting>
  <conditionalFormatting sqref="M23">
    <cfRule type="expression" dxfId="2752" priority="2902" stopIfTrue="1">
      <formula>IF(OR(M23="Y",M23="y",M23="Partial",M23="partial"),TRUE,FALSE)=FALSE</formula>
    </cfRule>
    <cfRule type="expression" dxfId="2751" priority="2903" stopIfTrue="1">
      <formula>IF(OR(M23="Partial",M23="partial"),TRUE,FALSE)=TRUE</formula>
    </cfRule>
    <cfRule type="expression" dxfId="2750" priority="2904" stopIfTrue="1">
      <formula>IF(OR(M23="Y",M23="y"),TRUE,FALSE)=TRUE</formula>
    </cfRule>
  </conditionalFormatting>
  <conditionalFormatting sqref="M23">
    <cfRule type="cellIs" dxfId="2749" priority="2901" stopIfTrue="1" operator="equal">
      <formula>"N/A"</formula>
    </cfRule>
  </conditionalFormatting>
  <conditionalFormatting sqref="N23">
    <cfRule type="expression" dxfId="2748" priority="2898" stopIfTrue="1">
      <formula>IF(OR(N23="Y",N23="y",N23="Partial",N23="partial"),TRUE,FALSE)=FALSE</formula>
    </cfRule>
    <cfRule type="expression" dxfId="2747" priority="2899" stopIfTrue="1">
      <formula>IF(OR(N23="Partial",N23="partial"),TRUE,FALSE)=TRUE</formula>
    </cfRule>
    <cfRule type="expression" dxfId="2746" priority="2900" stopIfTrue="1">
      <formula>IF(OR(N23="Y",N23="y"),TRUE,FALSE)=TRUE</formula>
    </cfRule>
  </conditionalFormatting>
  <conditionalFormatting sqref="N23">
    <cfRule type="cellIs" dxfId="2745" priority="2897" stopIfTrue="1" operator="equal">
      <formula>"N/A"</formula>
    </cfRule>
  </conditionalFormatting>
  <conditionalFormatting sqref="O23">
    <cfRule type="expression" dxfId="2744" priority="2894" stopIfTrue="1">
      <formula>IF(OR(O23="Y",O23="y",O23="Partial",O23="partial"),TRUE,FALSE)=FALSE</formula>
    </cfRule>
    <cfRule type="expression" dxfId="2743" priority="2895" stopIfTrue="1">
      <formula>IF(OR(O23="Partial",O23="partial"),TRUE,FALSE)=TRUE</formula>
    </cfRule>
    <cfRule type="expression" dxfId="2742" priority="2896" stopIfTrue="1">
      <formula>IF(OR(O23="Y",O23="y"),TRUE,FALSE)=TRUE</formula>
    </cfRule>
  </conditionalFormatting>
  <conditionalFormatting sqref="O23">
    <cfRule type="cellIs" dxfId="2741" priority="2893" stopIfTrue="1" operator="equal">
      <formula>"N/A"</formula>
    </cfRule>
  </conditionalFormatting>
  <conditionalFormatting sqref="P23">
    <cfRule type="expression" dxfId="2740" priority="2890" stopIfTrue="1">
      <formula>IF(OR(P23="Y",P23="y",P23="Partial",P23="partial"),TRUE,FALSE)=FALSE</formula>
    </cfRule>
    <cfRule type="expression" dxfId="2739" priority="2891" stopIfTrue="1">
      <formula>IF(OR(P23="Partial",P23="partial"),TRUE,FALSE)=TRUE</formula>
    </cfRule>
    <cfRule type="expression" dxfId="2738" priority="2892" stopIfTrue="1">
      <formula>IF(OR(P23="Y",P23="y"),TRUE,FALSE)=TRUE</formula>
    </cfRule>
  </conditionalFormatting>
  <conditionalFormatting sqref="P23">
    <cfRule type="cellIs" dxfId="2737" priority="2889" stopIfTrue="1" operator="equal">
      <formula>"N/A"</formula>
    </cfRule>
  </conditionalFormatting>
  <conditionalFormatting sqref="R23">
    <cfRule type="expression" dxfId="2736" priority="2882" stopIfTrue="1">
      <formula>IF(OR(R23="Y",R23="y",R23="Partial",R23="partial"),TRUE,FALSE)=FALSE</formula>
    </cfRule>
    <cfRule type="expression" dxfId="2735" priority="2883" stopIfTrue="1">
      <formula>IF(OR(R23="Partial",R23="partial"),TRUE,FALSE)=TRUE</formula>
    </cfRule>
    <cfRule type="expression" dxfId="2734" priority="2884" stopIfTrue="1">
      <formula>IF(OR(R23="Y",R23="y"),TRUE,FALSE)=TRUE</formula>
    </cfRule>
  </conditionalFormatting>
  <conditionalFormatting sqref="R23">
    <cfRule type="cellIs" dxfId="2733" priority="2881" stopIfTrue="1" operator="equal">
      <formula>"N/A"</formula>
    </cfRule>
  </conditionalFormatting>
  <conditionalFormatting sqref="S23">
    <cfRule type="expression" dxfId="2732" priority="2878" stopIfTrue="1">
      <formula>IF(OR(S23="Y",S23="y",S23="Partial",S23="partial"),TRUE,FALSE)=FALSE</formula>
    </cfRule>
    <cfRule type="expression" dxfId="2731" priority="2879" stopIfTrue="1">
      <formula>IF(OR(S23="Partial",S23="partial"),TRUE,FALSE)=TRUE</formula>
    </cfRule>
    <cfRule type="expression" dxfId="2730" priority="2880" stopIfTrue="1">
      <formula>IF(OR(S23="Y",S23="y"),TRUE,FALSE)=TRUE</formula>
    </cfRule>
  </conditionalFormatting>
  <conditionalFormatting sqref="S23">
    <cfRule type="cellIs" dxfId="2729" priority="2877" stopIfTrue="1" operator="equal">
      <formula>"N/A"</formula>
    </cfRule>
  </conditionalFormatting>
  <conditionalFormatting sqref="T23">
    <cfRule type="expression" dxfId="2728" priority="2874" stopIfTrue="1">
      <formula>IF(OR(T23="Y",T23="y",T23="Partial",T23="partial"),TRUE,FALSE)=FALSE</formula>
    </cfRule>
    <cfRule type="expression" dxfId="2727" priority="2875" stopIfTrue="1">
      <formula>IF(OR(T23="Partial",T23="partial"),TRUE,FALSE)=TRUE</formula>
    </cfRule>
    <cfRule type="expression" dxfId="2726" priority="2876" stopIfTrue="1">
      <formula>IF(OR(T23="Y",T23="y"),TRUE,FALSE)=TRUE</formula>
    </cfRule>
  </conditionalFormatting>
  <conditionalFormatting sqref="T23">
    <cfRule type="cellIs" dxfId="2725" priority="2873" stopIfTrue="1" operator="equal">
      <formula>"N/A"</formula>
    </cfRule>
  </conditionalFormatting>
  <conditionalFormatting sqref="U23">
    <cfRule type="expression" dxfId="2724" priority="2870" stopIfTrue="1">
      <formula>IF(OR(U23="Y",U23="y",U23="Partial",U23="partial"),TRUE,FALSE)=FALSE</formula>
    </cfRule>
    <cfRule type="expression" dxfId="2723" priority="2871" stopIfTrue="1">
      <formula>IF(OR(U23="Partial",U23="partial"),TRUE,FALSE)=TRUE</formula>
    </cfRule>
    <cfRule type="expression" dxfId="2722" priority="2872" stopIfTrue="1">
      <formula>IF(OR(U23="Y",U23="y"),TRUE,FALSE)=TRUE</formula>
    </cfRule>
  </conditionalFormatting>
  <conditionalFormatting sqref="U23">
    <cfRule type="cellIs" dxfId="2721" priority="2869" stopIfTrue="1" operator="equal">
      <formula>"N/A"</formula>
    </cfRule>
  </conditionalFormatting>
  <conditionalFormatting sqref="V23">
    <cfRule type="expression" dxfId="2720" priority="2866" stopIfTrue="1">
      <formula>IF(OR(V23="Y",V23="y",V23="Partial",V23="partial"),TRUE,FALSE)=FALSE</formula>
    </cfRule>
    <cfRule type="expression" dxfId="2719" priority="2867" stopIfTrue="1">
      <formula>IF(OR(V23="Partial",V23="partial"),TRUE,FALSE)=TRUE</formula>
    </cfRule>
    <cfRule type="expression" dxfId="2718" priority="2868" stopIfTrue="1">
      <formula>IF(OR(V23="Y",V23="y"),TRUE,FALSE)=TRUE</formula>
    </cfRule>
  </conditionalFormatting>
  <conditionalFormatting sqref="V23">
    <cfRule type="cellIs" dxfId="2717" priority="2865" stopIfTrue="1" operator="equal">
      <formula>"N/A"</formula>
    </cfRule>
  </conditionalFormatting>
  <conditionalFormatting sqref="W23">
    <cfRule type="expression" dxfId="2716" priority="2862" stopIfTrue="1">
      <formula>IF(OR(W23="Y",W23="y",W23="Partial",W23="partial"),TRUE,FALSE)=FALSE</formula>
    </cfRule>
    <cfRule type="expression" dxfId="2715" priority="2863" stopIfTrue="1">
      <formula>IF(OR(W23="Partial",W23="partial"),TRUE,FALSE)=TRUE</formula>
    </cfRule>
    <cfRule type="expression" dxfId="2714" priority="2864" stopIfTrue="1">
      <formula>IF(OR(W23="Y",W23="y"),TRUE,FALSE)=TRUE</formula>
    </cfRule>
  </conditionalFormatting>
  <conditionalFormatting sqref="W23">
    <cfRule type="cellIs" dxfId="2713" priority="2861" stopIfTrue="1" operator="equal">
      <formula>"N/A"</formula>
    </cfRule>
  </conditionalFormatting>
  <conditionalFormatting sqref="X23">
    <cfRule type="expression" dxfId="2712" priority="2858" stopIfTrue="1">
      <formula>IF(OR(X23="Y",X23="y",X23="Partial",X23="partial"),TRUE,FALSE)=FALSE</formula>
    </cfRule>
    <cfRule type="expression" dxfId="2711" priority="2859" stopIfTrue="1">
      <formula>IF(OR(X23="Partial",X23="partial"),TRUE,FALSE)=TRUE</formula>
    </cfRule>
    <cfRule type="expression" dxfId="2710" priority="2860" stopIfTrue="1">
      <formula>IF(OR(X23="Y",X23="y"),TRUE,FALSE)=TRUE</formula>
    </cfRule>
  </conditionalFormatting>
  <conditionalFormatting sqref="X23">
    <cfRule type="cellIs" dxfId="2709" priority="2857" stopIfTrue="1" operator="equal">
      <formula>"N/A"</formula>
    </cfRule>
  </conditionalFormatting>
  <conditionalFormatting sqref="H24">
    <cfRule type="expression" dxfId="2708" priority="2854" stopIfTrue="1">
      <formula>IF(OR(H24="Y",H24="y",H24="Partial",H24="partial"),TRUE,FALSE)=FALSE</formula>
    </cfRule>
    <cfRule type="expression" dxfId="2707" priority="2855" stopIfTrue="1">
      <formula>IF(OR(H24="Partial",H24="partial"),TRUE,FALSE)=TRUE</formula>
    </cfRule>
    <cfRule type="expression" dxfId="2706" priority="2856" stopIfTrue="1">
      <formula>IF(OR(H24="Y",H24="y"),TRUE,FALSE)=TRUE</formula>
    </cfRule>
  </conditionalFormatting>
  <conditionalFormatting sqref="H24">
    <cfRule type="cellIs" dxfId="2705" priority="2853" stopIfTrue="1" operator="equal">
      <formula>"N/A"</formula>
    </cfRule>
  </conditionalFormatting>
  <conditionalFormatting sqref="I24">
    <cfRule type="expression" dxfId="2704" priority="2850" stopIfTrue="1">
      <formula>IF(OR(I24="Y",I24="y",I24="Partial",I24="partial"),TRUE,FALSE)=FALSE</formula>
    </cfRule>
    <cfRule type="expression" dxfId="2703" priority="2851" stopIfTrue="1">
      <formula>IF(OR(I24="Partial",I24="partial"),TRUE,FALSE)=TRUE</formula>
    </cfRule>
    <cfRule type="expression" dxfId="2702" priority="2852" stopIfTrue="1">
      <formula>IF(OR(I24="Y",I24="y"),TRUE,FALSE)=TRUE</formula>
    </cfRule>
  </conditionalFormatting>
  <conditionalFormatting sqref="I24">
    <cfRule type="cellIs" dxfId="2701" priority="2849" stopIfTrue="1" operator="equal">
      <formula>"N/A"</formula>
    </cfRule>
  </conditionalFormatting>
  <conditionalFormatting sqref="J24">
    <cfRule type="expression" dxfId="2700" priority="2846" stopIfTrue="1">
      <formula>IF(OR(J24="Y",J24="y",J24="Partial",J24="partial"),TRUE,FALSE)=FALSE</formula>
    </cfRule>
    <cfRule type="expression" dxfId="2699" priority="2847" stopIfTrue="1">
      <formula>IF(OR(J24="Partial",J24="partial"),TRUE,FALSE)=TRUE</formula>
    </cfRule>
    <cfRule type="expression" dxfId="2698" priority="2848" stopIfTrue="1">
      <formula>IF(OR(J24="Y",J24="y"),TRUE,FALSE)=TRUE</formula>
    </cfRule>
  </conditionalFormatting>
  <conditionalFormatting sqref="J24">
    <cfRule type="cellIs" dxfId="2697" priority="2845" stopIfTrue="1" operator="equal">
      <formula>"N/A"</formula>
    </cfRule>
  </conditionalFormatting>
  <conditionalFormatting sqref="K24">
    <cfRule type="expression" dxfId="2696" priority="2842" stopIfTrue="1">
      <formula>IF(OR(K24="Y",K24="y",K24="Partial",K24="partial"),TRUE,FALSE)=FALSE</formula>
    </cfRule>
    <cfRule type="expression" dxfId="2695" priority="2843" stopIfTrue="1">
      <formula>IF(OR(K24="Partial",K24="partial"),TRUE,FALSE)=TRUE</formula>
    </cfRule>
    <cfRule type="expression" dxfId="2694" priority="2844" stopIfTrue="1">
      <formula>IF(OR(K24="Y",K24="y"),TRUE,FALSE)=TRUE</formula>
    </cfRule>
  </conditionalFormatting>
  <conditionalFormatting sqref="K24">
    <cfRule type="cellIs" dxfId="2693" priority="2841" stopIfTrue="1" operator="equal">
      <formula>"N/A"</formula>
    </cfRule>
  </conditionalFormatting>
  <conditionalFormatting sqref="L24">
    <cfRule type="expression" dxfId="2692" priority="2838" stopIfTrue="1">
      <formula>IF(OR(L24="Y",L24="y",L24="Partial",L24="partial"),TRUE,FALSE)=FALSE</formula>
    </cfRule>
    <cfRule type="expression" dxfId="2691" priority="2839" stopIfTrue="1">
      <formula>IF(OR(L24="Partial",L24="partial"),TRUE,FALSE)=TRUE</formula>
    </cfRule>
    <cfRule type="expression" dxfId="2690" priority="2840" stopIfTrue="1">
      <formula>IF(OR(L24="Y",L24="y"),TRUE,FALSE)=TRUE</formula>
    </cfRule>
  </conditionalFormatting>
  <conditionalFormatting sqref="L24">
    <cfRule type="cellIs" dxfId="2689" priority="2837" stopIfTrue="1" operator="equal">
      <formula>"N/A"</formula>
    </cfRule>
  </conditionalFormatting>
  <conditionalFormatting sqref="M24">
    <cfRule type="expression" dxfId="2688" priority="2834" stopIfTrue="1">
      <formula>IF(OR(M24="Y",M24="y",M24="Partial",M24="partial"),TRUE,FALSE)=FALSE</formula>
    </cfRule>
    <cfRule type="expression" dxfId="2687" priority="2835" stopIfTrue="1">
      <formula>IF(OR(M24="Partial",M24="partial"),TRUE,FALSE)=TRUE</formula>
    </cfRule>
    <cfRule type="expression" dxfId="2686" priority="2836" stopIfTrue="1">
      <formula>IF(OR(M24="Y",M24="y"),TRUE,FALSE)=TRUE</formula>
    </cfRule>
  </conditionalFormatting>
  <conditionalFormatting sqref="M24">
    <cfRule type="cellIs" dxfId="2685" priority="2833" stopIfTrue="1" operator="equal">
      <formula>"N/A"</formula>
    </cfRule>
  </conditionalFormatting>
  <conditionalFormatting sqref="N24">
    <cfRule type="expression" dxfId="2684" priority="2830" stopIfTrue="1">
      <formula>IF(OR(N24="Y",N24="y",N24="Partial",N24="partial"),TRUE,FALSE)=FALSE</formula>
    </cfRule>
    <cfRule type="expression" dxfId="2683" priority="2831" stopIfTrue="1">
      <formula>IF(OR(N24="Partial",N24="partial"),TRUE,FALSE)=TRUE</formula>
    </cfRule>
    <cfRule type="expression" dxfId="2682" priority="2832" stopIfTrue="1">
      <formula>IF(OR(N24="Y",N24="y"),TRUE,FALSE)=TRUE</formula>
    </cfRule>
  </conditionalFormatting>
  <conditionalFormatting sqref="N24">
    <cfRule type="cellIs" dxfId="2681" priority="2829" stopIfTrue="1" operator="equal">
      <formula>"N/A"</formula>
    </cfRule>
  </conditionalFormatting>
  <conditionalFormatting sqref="O24">
    <cfRule type="expression" dxfId="2680" priority="2826" stopIfTrue="1">
      <formula>IF(OR(O24="Y",O24="y",O24="Partial",O24="partial"),TRUE,FALSE)=FALSE</formula>
    </cfRule>
    <cfRule type="expression" dxfId="2679" priority="2827" stopIfTrue="1">
      <formula>IF(OR(O24="Partial",O24="partial"),TRUE,FALSE)=TRUE</formula>
    </cfRule>
    <cfRule type="expression" dxfId="2678" priority="2828" stopIfTrue="1">
      <formula>IF(OR(O24="Y",O24="y"),TRUE,FALSE)=TRUE</formula>
    </cfRule>
  </conditionalFormatting>
  <conditionalFormatting sqref="O24">
    <cfRule type="cellIs" dxfId="2677" priority="2825" stopIfTrue="1" operator="equal">
      <formula>"N/A"</formula>
    </cfRule>
  </conditionalFormatting>
  <conditionalFormatting sqref="P24">
    <cfRule type="expression" dxfId="2676" priority="2822" stopIfTrue="1">
      <formula>IF(OR(P24="Y",P24="y",P24="Partial",P24="partial"),TRUE,FALSE)=FALSE</formula>
    </cfRule>
    <cfRule type="expression" dxfId="2675" priority="2823" stopIfTrue="1">
      <formula>IF(OR(P24="Partial",P24="partial"),TRUE,FALSE)=TRUE</formula>
    </cfRule>
    <cfRule type="expression" dxfId="2674" priority="2824" stopIfTrue="1">
      <formula>IF(OR(P24="Y",P24="y"),TRUE,FALSE)=TRUE</formula>
    </cfRule>
  </conditionalFormatting>
  <conditionalFormatting sqref="P24">
    <cfRule type="cellIs" dxfId="2673" priority="2821" stopIfTrue="1" operator="equal">
      <formula>"N/A"</formula>
    </cfRule>
  </conditionalFormatting>
  <conditionalFormatting sqref="R24">
    <cfRule type="expression" dxfId="2672" priority="2814" stopIfTrue="1">
      <formula>IF(OR(R24="Y",R24="y",R24="Partial",R24="partial"),TRUE,FALSE)=FALSE</formula>
    </cfRule>
    <cfRule type="expression" dxfId="2671" priority="2815" stopIfTrue="1">
      <formula>IF(OR(R24="Partial",R24="partial"),TRUE,FALSE)=TRUE</formula>
    </cfRule>
    <cfRule type="expression" dxfId="2670" priority="2816" stopIfTrue="1">
      <formula>IF(OR(R24="Y",R24="y"),TRUE,FALSE)=TRUE</formula>
    </cfRule>
  </conditionalFormatting>
  <conditionalFormatting sqref="R24">
    <cfRule type="cellIs" dxfId="2669" priority="2813" stopIfTrue="1" operator="equal">
      <formula>"N/A"</formula>
    </cfRule>
  </conditionalFormatting>
  <conditionalFormatting sqref="S24">
    <cfRule type="expression" dxfId="2668" priority="2810" stopIfTrue="1">
      <formula>IF(OR(S24="Y",S24="y",S24="Partial",S24="partial"),TRUE,FALSE)=FALSE</formula>
    </cfRule>
    <cfRule type="expression" dxfId="2667" priority="2811" stopIfTrue="1">
      <formula>IF(OR(S24="Partial",S24="partial"),TRUE,FALSE)=TRUE</formula>
    </cfRule>
    <cfRule type="expression" dxfId="2666" priority="2812" stopIfTrue="1">
      <formula>IF(OR(S24="Y",S24="y"),TRUE,FALSE)=TRUE</formula>
    </cfRule>
  </conditionalFormatting>
  <conditionalFormatting sqref="S24">
    <cfRule type="cellIs" dxfId="2665" priority="2809" stopIfTrue="1" operator="equal">
      <formula>"N/A"</formula>
    </cfRule>
  </conditionalFormatting>
  <conditionalFormatting sqref="T24">
    <cfRule type="expression" dxfId="2664" priority="2806" stopIfTrue="1">
      <formula>IF(OR(T24="Y",T24="y",T24="Partial",T24="partial"),TRUE,FALSE)=FALSE</formula>
    </cfRule>
    <cfRule type="expression" dxfId="2663" priority="2807" stopIfTrue="1">
      <formula>IF(OR(T24="Partial",T24="partial"),TRUE,FALSE)=TRUE</formula>
    </cfRule>
    <cfRule type="expression" dxfId="2662" priority="2808" stopIfTrue="1">
      <formula>IF(OR(T24="Y",T24="y"),TRUE,FALSE)=TRUE</formula>
    </cfRule>
  </conditionalFormatting>
  <conditionalFormatting sqref="T24">
    <cfRule type="cellIs" dxfId="2661" priority="2805" stopIfTrue="1" operator="equal">
      <formula>"N/A"</formula>
    </cfRule>
  </conditionalFormatting>
  <conditionalFormatting sqref="U24">
    <cfRule type="expression" dxfId="2660" priority="2802" stopIfTrue="1">
      <formula>IF(OR(U24="Y",U24="y",U24="Partial",U24="partial"),TRUE,FALSE)=FALSE</formula>
    </cfRule>
    <cfRule type="expression" dxfId="2659" priority="2803" stopIfTrue="1">
      <formula>IF(OR(U24="Partial",U24="partial"),TRUE,FALSE)=TRUE</formula>
    </cfRule>
    <cfRule type="expression" dxfId="2658" priority="2804" stopIfTrue="1">
      <formula>IF(OR(U24="Y",U24="y"),TRUE,FALSE)=TRUE</formula>
    </cfRule>
  </conditionalFormatting>
  <conditionalFormatting sqref="U24">
    <cfRule type="cellIs" dxfId="2657" priority="2801" stopIfTrue="1" operator="equal">
      <formula>"N/A"</formula>
    </cfRule>
  </conditionalFormatting>
  <conditionalFormatting sqref="V24">
    <cfRule type="expression" dxfId="2656" priority="2798" stopIfTrue="1">
      <formula>IF(OR(V24="Y",V24="y",V24="Partial",V24="partial"),TRUE,FALSE)=FALSE</formula>
    </cfRule>
    <cfRule type="expression" dxfId="2655" priority="2799" stopIfTrue="1">
      <formula>IF(OR(V24="Partial",V24="partial"),TRUE,FALSE)=TRUE</formula>
    </cfRule>
    <cfRule type="expression" dxfId="2654" priority="2800" stopIfTrue="1">
      <formula>IF(OR(V24="Y",V24="y"),TRUE,FALSE)=TRUE</formula>
    </cfRule>
  </conditionalFormatting>
  <conditionalFormatting sqref="V24">
    <cfRule type="cellIs" dxfId="2653" priority="2797" stopIfTrue="1" operator="equal">
      <formula>"N/A"</formula>
    </cfRule>
  </conditionalFormatting>
  <conditionalFormatting sqref="W24">
    <cfRule type="expression" dxfId="2652" priority="2794" stopIfTrue="1">
      <formula>IF(OR(W24="Y",W24="y",W24="Partial",W24="partial"),TRUE,FALSE)=FALSE</formula>
    </cfRule>
    <cfRule type="expression" dxfId="2651" priority="2795" stopIfTrue="1">
      <formula>IF(OR(W24="Partial",W24="partial"),TRUE,FALSE)=TRUE</formula>
    </cfRule>
    <cfRule type="expression" dxfId="2650" priority="2796" stopIfTrue="1">
      <formula>IF(OR(W24="Y",W24="y"),TRUE,FALSE)=TRUE</formula>
    </cfRule>
  </conditionalFormatting>
  <conditionalFormatting sqref="W24">
    <cfRule type="cellIs" dxfId="2649" priority="2793" stopIfTrue="1" operator="equal">
      <formula>"N/A"</formula>
    </cfRule>
  </conditionalFormatting>
  <conditionalFormatting sqref="X24">
    <cfRule type="expression" dxfId="2648" priority="2790" stopIfTrue="1">
      <formula>IF(OR(X24="Y",X24="y",X24="Partial",X24="partial"),TRUE,FALSE)=FALSE</formula>
    </cfRule>
    <cfRule type="expression" dxfId="2647" priority="2791" stopIfTrue="1">
      <formula>IF(OR(X24="Partial",X24="partial"),TRUE,FALSE)=TRUE</formula>
    </cfRule>
    <cfRule type="expression" dxfId="2646" priority="2792" stopIfTrue="1">
      <formula>IF(OR(X24="Y",X24="y"),TRUE,FALSE)=TRUE</formula>
    </cfRule>
  </conditionalFormatting>
  <conditionalFormatting sqref="X24">
    <cfRule type="cellIs" dxfId="2645" priority="2789" stopIfTrue="1" operator="equal">
      <formula>"N/A"</formula>
    </cfRule>
  </conditionalFormatting>
  <conditionalFormatting sqref="H25">
    <cfRule type="expression" dxfId="2644" priority="2786" stopIfTrue="1">
      <formula>IF(OR(H25="Y",H25="y",H25="Partial",H25="partial"),TRUE,FALSE)=FALSE</formula>
    </cfRule>
    <cfRule type="expression" dxfId="2643" priority="2787" stopIfTrue="1">
      <formula>IF(OR(H25="Partial",H25="partial"),TRUE,FALSE)=TRUE</formula>
    </cfRule>
    <cfRule type="expression" dxfId="2642" priority="2788" stopIfTrue="1">
      <formula>IF(OR(H25="Y",H25="y"),TRUE,FALSE)=TRUE</formula>
    </cfRule>
  </conditionalFormatting>
  <conditionalFormatting sqref="H25">
    <cfRule type="cellIs" dxfId="2641" priority="2785" stopIfTrue="1" operator="equal">
      <formula>"N/A"</formula>
    </cfRule>
  </conditionalFormatting>
  <conditionalFormatting sqref="I25">
    <cfRule type="expression" dxfId="2640" priority="2782" stopIfTrue="1">
      <formula>IF(OR(I25="Y",I25="y",I25="Partial",I25="partial"),TRUE,FALSE)=FALSE</formula>
    </cfRule>
    <cfRule type="expression" dxfId="2639" priority="2783" stopIfTrue="1">
      <formula>IF(OR(I25="Partial",I25="partial"),TRUE,FALSE)=TRUE</formula>
    </cfRule>
    <cfRule type="expression" dxfId="2638" priority="2784" stopIfTrue="1">
      <formula>IF(OR(I25="Y",I25="y"),TRUE,FALSE)=TRUE</formula>
    </cfRule>
  </conditionalFormatting>
  <conditionalFormatting sqref="I25">
    <cfRule type="cellIs" dxfId="2637" priority="2781" stopIfTrue="1" operator="equal">
      <formula>"N/A"</formula>
    </cfRule>
  </conditionalFormatting>
  <conditionalFormatting sqref="J25">
    <cfRule type="expression" dxfId="2636" priority="2778" stopIfTrue="1">
      <formula>IF(OR(J25="Y",J25="y",J25="Partial",J25="partial"),TRUE,FALSE)=FALSE</formula>
    </cfRule>
    <cfRule type="expression" dxfId="2635" priority="2779" stopIfTrue="1">
      <formula>IF(OR(J25="Partial",J25="partial"),TRUE,FALSE)=TRUE</formula>
    </cfRule>
    <cfRule type="expression" dxfId="2634" priority="2780" stopIfTrue="1">
      <formula>IF(OR(J25="Y",J25="y"),TRUE,FALSE)=TRUE</formula>
    </cfRule>
  </conditionalFormatting>
  <conditionalFormatting sqref="J25">
    <cfRule type="cellIs" dxfId="2633" priority="2777" stopIfTrue="1" operator="equal">
      <formula>"N/A"</formula>
    </cfRule>
  </conditionalFormatting>
  <conditionalFormatting sqref="K25">
    <cfRule type="expression" dxfId="2632" priority="2774" stopIfTrue="1">
      <formula>IF(OR(K25="Y",K25="y",K25="Partial",K25="partial"),TRUE,FALSE)=FALSE</formula>
    </cfRule>
    <cfRule type="expression" dxfId="2631" priority="2775" stopIfTrue="1">
      <formula>IF(OR(K25="Partial",K25="partial"),TRUE,FALSE)=TRUE</formula>
    </cfRule>
    <cfRule type="expression" dxfId="2630" priority="2776" stopIfTrue="1">
      <formula>IF(OR(K25="Y",K25="y"),TRUE,FALSE)=TRUE</formula>
    </cfRule>
  </conditionalFormatting>
  <conditionalFormatting sqref="K25">
    <cfRule type="cellIs" dxfId="2629" priority="2773" stopIfTrue="1" operator="equal">
      <formula>"N/A"</formula>
    </cfRule>
  </conditionalFormatting>
  <conditionalFormatting sqref="L25">
    <cfRule type="expression" dxfId="2628" priority="2770" stopIfTrue="1">
      <formula>IF(OR(L25="Y",L25="y",L25="Partial",L25="partial"),TRUE,FALSE)=FALSE</formula>
    </cfRule>
    <cfRule type="expression" dxfId="2627" priority="2771" stopIfTrue="1">
      <formula>IF(OR(L25="Partial",L25="partial"),TRUE,FALSE)=TRUE</formula>
    </cfRule>
    <cfRule type="expression" dxfId="2626" priority="2772" stopIfTrue="1">
      <formula>IF(OR(L25="Y",L25="y"),TRUE,FALSE)=TRUE</formula>
    </cfRule>
  </conditionalFormatting>
  <conditionalFormatting sqref="L25">
    <cfRule type="cellIs" dxfId="2625" priority="2769" stopIfTrue="1" operator="equal">
      <formula>"N/A"</formula>
    </cfRule>
  </conditionalFormatting>
  <conditionalFormatting sqref="M25">
    <cfRule type="expression" dxfId="2624" priority="2766" stopIfTrue="1">
      <formula>IF(OR(M25="Y",M25="y",M25="Partial",M25="partial"),TRUE,FALSE)=FALSE</formula>
    </cfRule>
    <cfRule type="expression" dxfId="2623" priority="2767" stopIfTrue="1">
      <formula>IF(OR(M25="Partial",M25="partial"),TRUE,FALSE)=TRUE</formula>
    </cfRule>
    <cfRule type="expression" dxfId="2622" priority="2768" stopIfTrue="1">
      <formula>IF(OR(M25="Y",M25="y"),TRUE,FALSE)=TRUE</formula>
    </cfRule>
  </conditionalFormatting>
  <conditionalFormatting sqref="M25">
    <cfRule type="cellIs" dxfId="2621" priority="2765" stopIfTrue="1" operator="equal">
      <formula>"N/A"</formula>
    </cfRule>
  </conditionalFormatting>
  <conditionalFormatting sqref="N25">
    <cfRule type="expression" dxfId="2620" priority="2762" stopIfTrue="1">
      <formula>IF(OR(N25="Y",N25="y",N25="Partial",N25="partial"),TRUE,FALSE)=FALSE</formula>
    </cfRule>
    <cfRule type="expression" dxfId="2619" priority="2763" stopIfTrue="1">
      <formula>IF(OR(N25="Partial",N25="partial"),TRUE,FALSE)=TRUE</formula>
    </cfRule>
    <cfRule type="expression" dxfId="2618" priority="2764" stopIfTrue="1">
      <formula>IF(OR(N25="Y",N25="y"),TRUE,FALSE)=TRUE</formula>
    </cfRule>
  </conditionalFormatting>
  <conditionalFormatting sqref="N25">
    <cfRule type="cellIs" dxfId="2617" priority="2761" stopIfTrue="1" operator="equal">
      <formula>"N/A"</formula>
    </cfRule>
  </conditionalFormatting>
  <conditionalFormatting sqref="O25">
    <cfRule type="expression" dxfId="2616" priority="2758" stopIfTrue="1">
      <formula>IF(OR(O25="Y",O25="y",O25="Partial",O25="partial"),TRUE,FALSE)=FALSE</formula>
    </cfRule>
    <cfRule type="expression" dxfId="2615" priority="2759" stopIfTrue="1">
      <formula>IF(OR(O25="Partial",O25="partial"),TRUE,FALSE)=TRUE</formula>
    </cfRule>
    <cfRule type="expression" dxfId="2614" priority="2760" stopIfTrue="1">
      <formula>IF(OR(O25="Y",O25="y"),TRUE,FALSE)=TRUE</formula>
    </cfRule>
  </conditionalFormatting>
  <conditionalFormatting sqref="O25">
    <cfRule type="cellIs" dxfId="2613" priority="2757" stopIfTrue="1" operator="equal">
      <formula>"N/A"</formula>
    </cfRule>
  </conditionalFormatting>
  <conditionalFormatting sqref="P25">
    <cfRule type="expression" dxfId="2612" priority="2754" stopIfTrue="1">
      <formula>IF(OR(P25="Y",P25="y",P25="Partial",P25="partial"),TRUE,FALSE)=FALSE</formula>
    </cfRule>
    <cfRule type="expression" dxfId="2611" priority="2755" stopIfTrue="1">
      <formula>IF(OR(P25="Partial",P25="partial"),TRUE,FALSE)=TRUE</formula>
    </cfRule>
    <cfRule type="expression" dxfId="2610" priority="2756" stopIfTrue="1">
      <formula>IF(OR(P25="Y",P25="y"),TRUE,FALSE)=TRUE</formula>
    </cfRule>
  </conditionalFormatting>
  <conditionalFormatting sqref="P25">
    <cfRule type="cellIs" dxfId="2609" priority="2753" stopIfTrue="1" operator="equal">
      <formula>"N/A"</formula>
    </cfRule>
  </conditionalFormatting>
  <conditionalFormatting sqref="R25">
    <cfRule type="expression" dxfId="2608" priority="2746" stopIfTrue="1">
      <formula>IF(OR(R25="Y",R25="y",R25="Partial",R25="partial"),TRUE,FALSE)=FALSE</formula>
    </cfRule>
    <cfRule type="expression" dxfId="2607" priority="2747" stopIfTrue="1">
      <formula>IF(OR(R25="Partial",R25="partial"),TRUE,FALSE)=TRUE</formula>
    </cfRule>
    <cfRule type="expression" dxfId="2606" priority="2748" stopIfTrue="1">
      <formula>IF(OR(R25="Y",R25="y"),TRUE,FALSE)=TRUE</formula>
    </cfRule>
  </conditionalFormatting>
  <conditionalFormatting sqref="R25">
    <cfRule type="cellIs" dxfId="2605" priority="2745" stopIfTrue="1" operator="equal">
      <formula>"N/A"</formula>
    </cfRule>
  </conditionalFormatting>
  <conditionalFormatting sqref="S25">
    <cfRule type="expression" dxfId="2604" priority="2742" stopIfTrue="1">
      <formula>IF(OR(S25="Y",S25="y",S25="Partial",S25="partial"),TRUE,FALSE)=FALSE</formula>
    </cfRule>
    <cfRule type="expression" dxfId="2603" priority="2743" stopIfTrue="1">
      <formula>IF(OR(S25="Partial",S25="partial"),TRUE,FALSE)=TRUE</formula>
    </cfRule>
    <cfRule type="expression" dxfId="2602" priority="2744" stopIfTrue="1">
      <formula>IF(OR(S25="Y",S25="y"),TRUE,FALSE)=TRUE</formula>
    </cfRule>
  </conditionalFormatting>
  <conditionalFormatting sqref="S25">
    <cfRule type="cellIs" dxfId="2601" priority="2741" stopIfTrue="1" operator="equal">
      <formula>"N/A"</formula>
    </cfRule>
  </conditionalFormatting>
  <conditionalFormatting sqref="T25">
    <cfRule type="expression" dxfId="2600" priority="2738" stopIfTrue="1">
      <formula>IF(OR(T25="Y",T25="y",T25="Partial",T25="partial"),TRUE,FALSE)=FALSE</formula>
    </cfRule>
    <cfRule type="expression" dxfId="2599" priority="2739" stopIfTrue="1">
      <formula>IF(OR(T25="Partial",T25="partial"),TRUE,FALSE)=TRUE</formula>
    </cfRule>
    <cfRule type="expression" dxfId="2598" priority="2740" stopIfTrue="1">
      <formula>IF(OR(T25="Y",T25="y"),TRUE,FALSE)=TRUE</formula>
    </cfRule>
  </conditionalFormatting>
  <conditionalFormatting sqref="T25">
    <cfRule type="cellIs" dxfId="2597" priority="2737" stopIfTrue="1" operator="equal">
      <formula>"N/A"</formula>
    </cfRule>
  </conditionalFormatting>
  <conditionalFormatting sqref="U25">
    <cfRule type="expression" dxfId="2596" priority="2734" stopIfTrue="1">
      <formula>IF(OR(U25="Y",U25="y",U25="Partial",U25="partial"),TRUE,FALSE)=FALSE</formula>
    </cfRule>
    <cfRule type="expression" dxfId="2595" priority="2735" stopIfTrue="1">
      <formula>IF(OR(U25="Partial",U25="partial"),TRUE,FALSE)=TRUE</formula>
    </cfRule>
    <cfRule type="expression" dxfId="2594" priority="2736" stopIfTrue="1">
      <formula>IF(OR(U25="Y",U25="y"),TRUE,FALSE)=TRUE</formula>
    </cfRule>
  </conditionalFormatting>
  <conditionalFormatting sqref="U25">
    <cfRule type="cellIs" dxfId="2593" priority="2733" stopIfTrue="1" operator="equal">
      <formula>"N/A"</formula>
    </cfRule>
  </conditionalFormatting>
  <conditionalFormatting sqref="V25">
    <cfRule type="expression" dxfId="2592" priority="2730" stopIfTrue="1">
      <formula>IF(OR(V25="Y",V25="y",V25="Partial",V25="partial"),TRUE,FALSE)=FALSE</formula>
    </cfRule>
    <cfRule type="expression" dxfId="2591" priority="2731" stopIfTrue="1">
      <formula>IF(OR(V25="Partial",V25="partial"),TRUE,FALSE)=TRUE</formula>
    </cfRule>
    <cfRule type="expression" dxfId="2590" priority="2732" stopIfTrue="1">
      <formula>IF(OR(V25="Y",V25="y"),TRUE,FALSE)=TRUE</formula>
    </cfRule>
  </conditionalFormatting>
  <conditionalFormatting sqref="V25">
    <cfRule type="cellIs" dxfId="2589" priority="2729" stopIfTrue="1" operator="equal">
      <formula>"N/A"</formula>
    </cfRule>
  </conditionalFormatting>
  <conditionalFormatting sqref="W25">
    <cfRule type="expression" dxfId="2588" priority="2726" stopIfTrue="1">
      <formula>IF(OR(W25="Y",W25="y",W25="Partial",W25="partial"),TRUE,FALSE)=FALSE</formula>
    </cfRule>
    <cfRule type="expression" dxfId="2587" priority="2727" stopIfTrue="1">
      <formula>IF(OR(W25="Partial",W25="partial"),TRUE,FALSE)=TRUE</formula>
    </cfRule>
    <cfRule type="expression" dxfId="2586" priority="2728" stopIfTrue="1">
      <formula>IF(OR(W25="Y",W25="y"),TRUE,FALSE)=TRUE</formula>
    </cfRule>
  </conditionalFormatting>
  <conditionalFormatting sqref="W25">
    <cfRule type="cellIs" dxfId="2585" priority="2725" stopIfTrue="1" operator="equal">
      <formula>"N/A"</formula>
    </cfRule>
  </conditionalFormatting>
  <conditionalFormatting sqref="X25">
    <cfRule type="expression" dxfId="2584" priority="2722" stopIfTrue="1">
      <formula>IF(OR(X25="Y",X25="y",X25="Partial",X25="partial"),TRUE,FALSE)=FALSE</formula>
    </cfRule>
    <cfRule type="expression" dxfId="2583" priority="2723" stopIfTrue="1">
      <formula>IF(OR(X25="Partial",X25="partial"),TRUE,FALSE)=TRUE</formula>
    </cfRule>
    <cfRule type="expression" dxfId="2582" priority="2724" stopIfTrue="1">
      <formula>IF(OR(X25="Y",X25="y"),TRUE,FALSE)=TRUE</formula>
    </cfRule>
  </conditionalFormatting>
  <conditionalFormatting sqref="X25">
    <cfRule type="cellIs" dxfId="2581" priority="2721" stopIfTrue="1" operator="equal">
      <formula>"N/A"</formula>
    </cfRule>
  </conditionalFormatting>
  <conditionalFormatting sqref="H26">
    <cfRule type="expression" dxfId="2580" priority="2718" stopIfTrue="1">
      <formula>IF(OR(H26="Y",H26="y",H26="Partial",H26="partial"),TRUE,FALSE)=FALSE</formula>
    </cfRule>
    <cfRule type="expression" dxfId="2579" priority="2719" stopIfTrue="1">
      <formula>IF(OR(H26="Partial",H26="partial"),TRUE,FALSE)=TRUE</formula>
    </cfRule>
    <cfRule type="expression" dxfId="2578" priority="2720" stopIfTrue="1">
      <formula>IF(OR(H26="Y",H26="y"),TRUE,FALSE)=TRUE</formula>
    </cfRule>
  </conditionalFormatting>
  <conditionalFormatting sqref="H26">
    <cfRule type="cellIs" dxfId="2577" priority="2717" stopIfTrue="1" operator="equal">
      <formula>"N/A"</formula>
    </cfRule>
  </conditionalFormatting>
  <conditionalFormatting sqref="I26">
    <cfRule type="expression" dxfId="2576" priority="2714" stopIfTrue="1">
      <formula>IF(OR(I26="Y",I26="y",I26="Partial",I26="partial"),TRUE,FALSE)=FALSE</formula>
    </cfRule>
    <cfRule type="expression" dxfId="2575" priority="2715" stopIfTrue="1">
      <formula>IF(OR(I26="Partial",I26="partial"),TRUE,FALSE)=TRUE</formula>
    </cfRule>
    <cfRule type="expression" dxfId="2574" priority="2716" stopIfTrue="1">
      <formula>IF(OR(I26="Y",I26="y"),TRUE,FALSE)=TRUE</formula>
    </cfRule>
  </conditionalFormatting>
  <conditionalFormatting sqref="I26">
    <cfRule type="cellIs" dxfId="2573" priority="2713" stopIfTrue="1" operator="equal">
      <formula>"N/A"</formula>
    </cfRule>
  </conditionalFormatting>
  <conditionalFormatting sqref="J26">
    <cfRule type="expression" dxfId="2572" priority="2710" stopIfTrue="1">
      <formula>IF(OR(J26="Y",J26="y",J26="Partial",J26="partial"),TRUE,FALSE)=FALSE</formula>
    </cfRule>
    <cfRule type="expression" dxfId="2571" priority="2711" stopIfTrue="1">
      <formula>IF(OR(J26="Partial",J26="partial"),TRUE,FALSE)=TRUE</formula>
    </cfRule>
    <cfRule type="expression" dxfId="2570" priority="2712" stopIfTrue="1">
      <formula>IF(OR(J26="Y",J26="y"),TRUE,FALSE)=TRUE</formula>
    </cfRule>
  </conditionalFormatting>
  <conditionalFormatting sqref="J26">
    <cfRule type="cellIs" dxfId="2569" priority="2709" stopIfTrue="1" operator="equal">
      <formula>"N/A"</formula>
    </cfRule>
  </conditionalFormatting>
  <conditionalFormatting sqref="K26">
    <cfRule type="expression" dxfId="2568" priority="2706" stopIfTrue="1">
      <formula>IF(OR(K26="Y",K26="y",K26="Partial",K26="partial"),TRUE,FALSE)=FALSE</formula>
    </cfRule>
    <cfRule type="expression" dxfId="2567" priority="2707" stopIfTrue="1">
      <formula>IF(OR(K26="Partial",K26="partial"),TRUE,FALSE)=TRUE</formula>
    </cfRule>
    <cfRule type="expression" dxfId="2566" priority="2708" stopIfTrue="1">
      <formula>IF(OR(K26="Y",K26="y"),TRUE,FALSE)=TRUE</formula>
    </cfRule>
  </conditionalFormatting>
  <conditionalFormatting sqref="K26">
    <cfRule type="cellIs" dxfId="2565" priority="2705" stopIfTrue="1" operator="equal">
      <formula>"N/A"</formula>
    </cfRule>
  </conditionalFormatting>
  <conditionalFormatting sqref="L26">
    <cfRule type="expression" dxfId="2564" priority="2702" stopIfTrue="1">
      <formula>IF(OR(L26="Y",L26="y",L26="Partial",L26="partial"),TRUE,FALSE)=FALSE</formula>
    </cfRule>
    <cfRule type="expression" dxfId="2563" priority="2703" stopIfTrue="1">
      <formula>IF(OR(L26="Partial",L26="partial"),TRUE,FALSE)=TRUE</formula>
    </cfRule>
    <cfRule type="expression" dxfId="2562" priority="2704" stopIfTrue="1">
      <formula>IF(OR(L26="Y",L26="y"),TRUE,FALSE)=TRUE</formula>
    </cfRule>
  </conditionalFormatting>
  <conditionalFormatting sqref="L26">
    <cfRule type="cellIs" dxfId="2561" priority="2701" stopIfTrue="1" operator="equal">
      <formula>"N/A"</formula>
    </cfRule>
  </conditionalFormatting>
  <conditionalFormatting sqref="M26">
    <cfRule type="expression" dxfId="2560" priority="2698" stopIfTrue="1">
      <formula>IF(OR(M26="Y",M26="y",M26="Partial",M26="partial"),TRUE,FALSE)=FALSE</formula>
    </cfRule>
    <cfRule type="expression" dxfId="2559" priority="2699" stopIfTrue="1">
      <formula>IF(OR(M26="Partial",M26="partial"),TRUE,FALSE)=TRUE</formula>
    </cfRule>
    <cfRule type="expression" dxfId="2558" priority="2700" stopIfTrue="1">
      <formula>IF(OR(M26="Y",M26="y"),TRUE,FALSE)=TRUE</formula>
    </cfRule>
  </conditionalFormatting>
  <conditionalFormatting sqref="M26">
    <cfRule type="cellIs" dxfId="2557" priority="2697" stopIfTrue="1" operator="equal">
      <formula>"N/A"</formula>
    </cfRule>
  </conditionalFormatting>
  <conditionalFormatting sqref="N26">
    <cfRule type="expression" dxfId="2556" priority="2694" stopIfTrue="1">
      <formula>IF(OR(N26="Y",N26="y",N26="Partial",N26="partial"),TRUE,FALSE)=FALSE</formula>
    </cfRule>
    <cfRule type="expression" dxfId="2555" priority="2695" stopIfTrue="1">
      <formula>IF(OR(N26="Partial",N26="partial"),TRUE,FALSE)=TRUE</formula>
    </cfRule>
    <cfRule type="expression" dxfId="2554" priority="2696" stopIfTrue="1">
      <formula>IF(OR(N26="Y",N26="y"),TRUE,FALSE)=TRUE</formula>
    </cfRule>
  </conditionalFormatting>
  <conditionalFormatting sqref="N26">
    <cfRule type="cellIs" dxfId="2553" priority="2693" stopIfTrue="1" operator="equal">
      <formula>"N/A"</formula>
    </cfRule>
  </conditionalFormatting>
  <conditionalFormatting sqref="O26">
    <cfRule type="expression" dxfId="2552" priority="2690" stopIfTrue="1">
      <formula>IF(OR(O26="Y",O26="y",O26="Partial",O26="partial"),TRUE,FALSE)=FALSE</formula>
    </cfRule>
    <cfRule type="expression" dxfId="2551" priority="2691" stopIfTrue="1">
      <formula>IF(OR(O26="Partial",O26="partial"),TRUE,FALSE)=TRUE</formula>
    </cfRule>
    <cfRule type="expression" dxfId="2550" priority="2692" stopIfTrue="1">
      <formula>IF(OR(O26="Y",O26="y"),TRUE,FALSE)=TRUE</formula>
    </cfRule>
  </conditionalFormatting>
  <conditionalFormatting sqref="O26">
    <cfRule type="cellIs" dxfId="2549" priority="2689" stopIfTrue="1" operator="equal">
      <formula>"N/A"</formula>
    </cfRule>
  </conditionalFormatting>
  <conditionalFormatting sqref="P26">
    <cfRule type="expression" dxfId="2548" priority="2686" stopIfTrue="1">
      <formula>IF(OR(P26="Y",P26="y",P26="Partial",P26="partial"),TRUE,FALSE)=FALSE</formula>
    </cfRule>
    <cfRule type="expression" dxfId="2547" priority="2687" stopIfTrue="1">
      <formula>IF(OR(P26="Partial",P26="partial"),TRUE,FALSE)=TRUE</formula>
    </cfRule>
    <cfRule type="expression" dxfId="2546" priority="2688" stopIfTrue="1">
      <formula>IF(OR(P26="Y",P26="y"),TRUE,FALSE)=TRUE</formula>
    </cfRule>
  </conditionalFormatting>
  <conditionalFormatting sqref="P26">
    <cfRule type="cellIs" dxfId="2545" priority="2685" stopIfTrue="1" operator="equal">
      <formula>"N/A"</formula>
    </cfRule>
  </conditionalFormatting>
  <conditionalFormatting sqref="R26">
    <cfRule type="expression" dxfId="2544" priority="2678" stopIfTrue="1">
      <formula>IF(OR(R26="Y",R26="y",R26="Partial",R26="partial"),TRUE,FALSE)=FALSE</formula>
    </cfRule>
    <cfRule type="expression" dxfId="2543" priority="2679" stopIfTrue="1">
      <formula>IF(OR(R26="Partial",R26="partial"),TRUE,FALSE)=TRUE</formula>
    </cfRule>
    <cfRule type="expression" dxfId="2542" priority="2680" stopIfTrue="1">
      <formula>IF(OR(R26="Y",R26="y"),TRUE,FALSE)=TRUE</formula>
    </cfRule>
  </conditionalFormatting>
  <conditionalFormatting sqref="R26">
    <cfRule type="cellIs" dxfId="2541" priority="2677" stopIfTrue="1" operator="equal">
      <formula>"N/A"</formula>
    </cfRule>
  </conditionalFormatting>
  <conditionalFormatting sqref="S26">
    <cfRule type="expression" dxfId="2540" priority="2674" stopIfTrue="1">
      <formula>IF(OR(S26="Y",S26="y",S26="Partial",S26="partial"),TRUE,FALSE)=FALSE</formula>
    </cfRule>
    <cfRule type="expression" dxfId="2539" priority="2675" stopIfTrue="1">
      <formula>IF(OR(S26="Partial",S26="partial"),TRUE,FALSE)=TRUE</formula>
    </cfRule>
    <cfRule type="expression" dxfId="2538" priority="2676" stopIfTrue="1">
      <formula>IF(OR(S26="Y",S26="y"),TRUE,FALSE)=TRUE</formula>
    </cfRule>
  </conditionalFormatting>
  <conditionalFormatting sqref="S26">
    <cfRule type="cellIs" dxfId="2537" priority="2673" stopIfTrue="1" operator="equal">
      <formula>"N/A"</formula>
    </cfRule>
  </conditionalFormatting>
  <conditionalFormatting sqref="T26">
    <cfRule type="expression" dxfId="2536" priority="2670" stopIfTrue="1">
      <formula>IF(OR(T26="Y",T26="y",T26="Partial",T26="partial"),TRUE,FALSE)=FALSE</formula>
    </cfRule>
    <cfRule type="expression" dxfId="2535" priority="2671" stopIfTrue="1">
      <formula>IF(OR(T26="Partial",T26="partial"),TRUE,FALSE)=TRUE</formula>
    </cfRule>
    <cfRule type="expression" dxfId="2534" priority="2672" stopIfTrue="1">
      <formula>IF(OR(T26="Y",T26="y"),TRUE,FALSE)=TRUE</formula>
    </cfRule>
  </conditionalFormatting>
  <conditionalFormatting sqref="T26">
    <cfRule type="cellIs" dxfId="2533" priority="2669" stopIfTrue="1" operator="equal">
      <formula>"N/A"</formula>
    </cfRule>
  </conditionalFormatting>
  <conditionalFormatting sqref="U26">
    <cfRule type="expression" dxfId="2532" priority="2666" stopIfTrue="1">
      <formula>IF(OR(U26="Y",U26="y",U26="Partial",U26="partial"),TRUE,FALSE)=FALSE</formula>
    </cfRule>
    <cfRule type="expression" dxfId="2531" priority="2667" stopIfTrue="1">
      <formula>IF(OR(U26="Partial",U26="partial"),TRUE,FALSE)=TRUE</formula>
    </cfRule>
    <cfRule type="expression" dxfId="2530" priority="2668" stopIfTrue="1">
      <formula>IF(OR(U26="Y",U26="y"),TRUE,FALSE)=TRUE</formula>
    </cfRule>
  </conditionalFormatting>
  <conditionalFormatting sqref="U26">
    <cfRule type="cellIs" dxfId="2529" priority="2665" stopIfTrue="1" operator="equal">
      <formula>"N/A"</formula>
    </cfRule>
  </conditionalFormatting>
  <conditionalFormatting sqref="V26">
    <cfRule type="expression" dxfId="2528" priority="2662" stopIfTrue="1">
      <formula>IF(OR(V26="Y",V26="y",V26="Partial",V26="partial"),TRUE,FALSE)=FALSE</formula>
    </cfRule>
    <cfRule type="expression" dxfId="2527" priority="2663" stopIfTrue="1">
      <formula>IF(OR(V26="Partial",V26="partial"),TRUE,FALSE)=TRUE</formula>
    </cfRule>
    <cfRule type="expression" dxfId="2526" priority="2664" stopIfTrue="1">
      <formula>IF(OR(V26="Y",V26="y"),TRUE,FALSE)=TRUE</formula>
    </cfRule>
  </conditionalFormatting>
  <conditionalFormatting sqref="V26">
    <cfRule type="cellIs" dxfId="2525" priority="2661" stopIfTrue="1" operator="equal">
      <formula>"N/A"</formula>
    </cfRule>
  </conditionalFormatting>
  <conditionalFormatting sqref="W26">
    <cfRule type="expression" dxfId="2524" priority="2658" stopIfTrue="1">
      <formula>IF(OR(W26="Y",W26="y",W26="Partial",W26="partial"),TRUE,FALSE)=FALSE</formula>
    </cfRule>
    <cfRule type="expression" dxfId="2523" priority="2659" stopIfTrue="1">
      <formula>IF(OR(W26="Partial",W26="partial"),TRUE,FALSE)=TRUE</formula>
    </cfRule>
    <cfRule type="expression" dxfId="2522" priority="2660" stopIfTrue="1">
      <formula>IF(OR(W26="Y",W26="y"),TRUE,FALSE)=TRUE</formula>
    </cfRule>
  </conditionalFormatting>
  <conditionalFormatting sqref="W26">
    <cfRule type="cellIs" dxfId="2521" priority="2657" stopIfTrue="1" operator="equal">
      <formula>"N/A"</formula>
    </cfRule>
  </conditionalFormatting>
  <conditionalFormatting sqref="X26">
    <cfRule type="expression" dxfId="2520" priority="2654" stopIfTrue="1">
      <formula>IF(OR(X26="Y",X26="y",X26="Partial",X26="partial"),TRUE,FALSE)=FALSE</formula>
    </cfRule>
    <cfRule type="expression" dxfId="2519" priority="2655" stopIfTrue="1">
      <formula>IF(OR(X26="Partial",X26="partial"),TRUE,FALSE)=TRUE</formula>
    </cfRule>
    <cfRule type="expression" dxfId="2518" priority="2656" stopIfTrue="1">
      <formula>IF(OR(X26="Y",X26="y"),TRUE,FALSE)=TRUE</formula>
    </cfRule>
  </conditionalFormatting>
  <conditionalFormatting sqref="X26">
    <cfRule type="cellIs" dxfId="2517" priority="2653" stopIfTrue="1" operator="equal">
      <formula>"N/A"</formula>
    </cfRule>
  </conditionalFormatting>
  <conditionalFormatting sqref="H27">
    <cfRule type="expression" dxfId="2516" priority="2650" stopIfTrue="1">
      <formula>IF(OR(H27="Y",H27="y",H27="Partial",H27="partial"),TRUE,FALSE)=FALSE</formula>
    </cfRule>
    <cfRule type="expression" dxfId="2515" priority="2651" stopIfTrue="1">
      <formula>IF(OR(H27="Partial",H27="partial"),TRUE,FALSE)=TRUE</formula>
    </cfRule>
    <cfRule type="expression" dxfId="2514" priority="2652" stopIfTrue="1">
      <formula>IF(OR(H27="Y",H27="y"),TRUE,FALSE)=TRUE</formula>
    </cfRule>
  </conditionalFormatting>
  <conditionalFormatting sqref="H27">
    <cfRule type="cellIs" dxfId="2513" priority="2649" stopIfTrue="1" operator="equal">
      <formula>"N/A"</formula>
    </cfRule>
  </conditionalFormatting>
  <conditionalFormatting sqref="I27">
    <cfRule type="expression" dxfId="2512" priority="2646" stopIfTrue="1">
      <formula>IF(OR(I27="Y",I27="y",I27="Partial",I27="partial"),TRUE,FALSE)=FALSE</formula>
    </cfRule>
    <cfRule type="expression" dxfId="2511" priority="2647" stopIfTrue="1">
      <formula>IF(OR(I27="Partial",I27="partial"),TRUE,FALSE)=TRUE</formula>
    </cfRule>
    <cfRule type="expression" dxfId="2510" priority="2648" stopIfTrue="1">
      <formula>IF(OR(I27="Y",I27="y"),TRUE,FALSE)=TRUE</formula>
    </cfRule>
  </conditionalFormatting>
  <conditionalFormatting sqref="I27">
    <cfRule type="cellIs" dxfId="2509" priority="2645" stopIfTrue="1" operator="equal">
      <formula>"N/A"</formula>
    </cfRule>
  </conditionalFormatting>
  <conditionalFormatting sqref="J27">
    <cfRule type="expression" dxfId="2508" priority="2642" stopIfTrue="1">
      <formula>IF(OR(J27="Y",J27="y",J27="Partial",J27="partial"),TRUE,FALSE)=FALSE</formula>
    </cfRule>
    <cfRule type="expression" dxfId="2507" priority="2643" stopIfTrue="1">
      <formula>IF(OR(J27="Partial",J27="partial"),TRUE,FALSE)=TRUE</formula>
    </cfRule>
    <cfRule type="expression" dxfId="2506" priority="2644" stopIfTrue="1">
      <formula>IF(OR(J27="Y",J27="y"),TRUE,FALSE)=TRUE</formula>
    </cfRule>
  </conditionalFormatting>
  <conditionalFormatting sqref="J27">
    <cfRule type="cellIs" dxfId="2505" priority="2641" stopIfTrue="1" operator="equal">
      <formula>"N/A"</formula>
    </cfRule>
  </conditionalFormatting>
  <conditionalFormatting sqref="K27">
    <cfRule type="expression" dxfId="2504" priority="2638" stopIfTrue="1">
      <formula>IF(OR(K27="Y",K27="y",K27="Partial",K27="partial"),TRUE,FALSE)=FALSE</formula>
    </cfRule>
    <cfRule type="expression" dxfId="2503" priority="2639" stopIfTrue="1">
      <formula>IF(OR(K27="Partial",K27="partial"),TRUE,FALSE)=TRUE</formula>
    </cfRule>
    <cfRule type="expression" dxfId="2502" priority="2640" stopIfTrue="1">
      <formula>IF(OR(K27="Y",K27="y"),TRUE,FALSE)=TRUE</formula>
    </cfRule>
  </conditionalFormatting>
  <conditionalFormatting sqref="K27">
    <cfRule type="cellIs" dxfId="2501" priority="2637" stopIfTrue="1" operator="equal">
      <formula>"N/A"</formula>
    </cfRule>
  </conditionalFormatting>
  <conditionalFormatting sqref="L27">
    <cfRule type="expression" dxfId="2500" priority="2634" stopIfTrue="1">
      <formula>IF(OR(L27="Y",L27="y",L27="Partial",L27="partial"),TRUE,FALSE)=FALSE</formula>
    </cfRule>
    <cfRule type="expression" dxfId="2499" priority="2635" stopIfTrue="1">
      <formula>IF(OR(L27="Partial",L27="partial"),TRUE,FALSE)=TRUE</formula>
    </cfRule>
    <cfRule type="expression" dxfId="2498" priority="2636" stopIfTrue="1">
      <formula>IF(OR(L27="Y",L27="y"),TRUE,FALSE)=TRUE</formula>
    </cfRule>
  </conditionalFormatting>
  <conditionalFormatting sqref="L27">
    <cfRule type="cellIs" dxfId="2497" priority="2633" stopIfTrue="1" operator="equal">
      <formula>"N/A"</formula>
    </cfRule>
  </conditionalFormatting>
  <conditionalFormatting sqref="M27">
    <cfRule type="expression" dxfId="2496" priority="2630" stopIfTrue="1">
      <formula>IF(OR(M27="Y",M27="y",M27="Partial",M27="partial"),TRUE,FALSE)=FALSE</formula>
    </cfRule>
    <cfRule type="expression" dxfId="2495" priority="2631" stopIfTrue="1">
      <formula>IF(OR(M27="Partial",M27="partial"),TRUE,FALSE)=TRUE</formula>
    </cfRule>
    <cfRule type="expression" dxfId="2494" priority="2632" stopIfTrue="1">
      <formula>IF(OR(M27="Y",M27="y"),TRUE,FALSE)=TRUE</formula>
    </cfRule>
  </conditionalFormatting>
  <conditionalFormatting sqref="M27">
    <cfRule type="cellIs" dxfId="2493" priority="2629" stopIfTrue="1" operator="equal">
      <formula>"N/A"</formula>
    </cfRule>
  </conditionalFormatting>
  <conditionalFormatting sqref="N27">
    <cfRule type="expression" dxfId="2492" priority="2626" stopIfTrue="1">
      <formula>IF(OR(N27="Y",N27="y",N27="Partial",N27="partial"),TRUE,FALSE)=FALSE</formula>
    </cfRule>
    <cfRule type="expression" dxfId="2491" priority="2627" stopIfTrue="1">
      <formula>IF(OR(N27="Partial",N27="partial"),TRUE,FALSE)=TRUE</formula>
    </cfRule>
    <cfRule type="expression" dxfId="2490" priority="2628" stopIfTrue="1">
      <formula>IF(OR(N27="Y",N27="y"),TRUE,FALSE)=TRUE</formula>
    </cfRule>
  </conditionalFormatting>
  <conditionalFormatting sqref="N27">
    <cfRule type="cellIs" dxfId="2489" priority="2625" stopIfTrue="1" operator="equal">
      <formula>"N/A"</formula>
    </cfRule>
  </conditionalFormatting>
  <conditionalFormatting sqref="O27">
    <cfRule type="expression" dxfId="2488" priority="2622" stopIfTrue="1">
      <formula>IF(OR(O27="Y",O27="y",O27="Partial",O27="partial"),TRUE,FALSE)=FALSE</formula>
    </cfRule>
    <cfRule type="expression" dxfId="2487" priority="2623" stopIfTrue="1">
      <formula>IF(OR(O27="Partial",O27="partial"),TRUE,FALSE)=TRUE</formula>
    </cfRule>
    <cfRule type="expression" dxfId="2486" priority="2624" stopIfTrue="1">
      <formula>IF(OR(O27="Y",O27="y"),TRUE,FALSE)=TRUE</formula>
    </cfRule>
  </conditionalFormatting>
  <conditionalFormatting sqref="O27">
    <cfRule type="cellIs" dxfId="2485" priority="2621" stopIfTrue="1" operator="equal">
      <formula>"N/A"</formula>
    </cfRule>
  </conditionalFormatting>
  <conditionalFormatting sqref="P27">
    <cfRule type="expression" dxfId="2484" priority="2618" stopIfTrue="1">
      <formula>IF(OR(P27="Y",P27="y",P27="Partial",P27="partial"),TRUE,FALSE)=FALSE</formula>
    </cfRule>
    <cfRule type="expression" dxfId="2483" priority="2619" stopIfTrue="1">
      <formula>IF(OR(P27="Partial",P27="partial"),TRUE,FALSE)=TRUE</formula>
    </cfRule>
    <cfRule type="expression" dxfId="2482" priority="2620" stopIfTrue="1">
      <formula>IF(OR(P27="Y",P27="y"),TRUE,FALSE)=TRUE</formula>
    </cfRule>
  </conditionalFormatting>
  <conditionalFormatting sqref="P27">
    <cfRule type="cellIs" dxfId="2481" priority="2617" stopIfTrue="1" operator="equal">
      <formula>"N/A"</formula>
    </cfRule>
  </conditionalFormatting>
  <conditionalFormatting sqref="R27">
    <cfRule type="expression" dxfId="2480" priority="2610" stopIfTrue="1">
      <formula>IF(OR(R27="Y",R27="y",R27="Partial",R27="partial"),TRUE,FALSE)=FALSE</formula>
    </cfRule>
    <cfRule type="expression" dxfId="2479" priority="2611" stopIfTrue="1">
      <formula>IF(OR(R27="Partial",R27="partial"),TRUE,FALSE)=TRUE</formula>
    </cfRule>
    <cfRule type="expression" dxfId="2478" priority="2612" stopIfTrue="1">
      <formula>IF(OR(R27="Y",R27="y"),TRUE,FALSE)=TRUE</formula>
    </cfRule>
  </conditionalFormatting>
  <conditionalFormatting sqref="R27">
    <cfRule type="cellIs" dxfId="2477" priority="2609" stopIfTrue="1" operator="equal">
      <formula>"N/A"</formula>
    </cfRule>
  </conditionalFormatting>
  <conditionalFormatting sqref="S27">
    <cfRule type="expression" dxfId="2476" priority="2606" stopIfTrue="1">
      <formula>IF(OR(S27="Y",S27="y",S27="Partial",S27="partial"),TRUE,FALSE)=FALSE</formula>
    </cfRule>
    <cfRule type="expression" dxfId="2475" priority="2607" stopIfTrue="1">
      <formula>IF(OR(S27="Partial",S27="partial"),TRUE,FALSE)=TRUE</formula>
    </cfRule>
    <cfRule type="expression" dxfId="2474" priority="2608" stopIfTrue="1">
      <formula>IF(OR(S27="Y",S27="y"),TRUE,FALSE)=TRUE</formula>
    </cfRule>
  </conditionalFormatting>
  <conditionalFormatting sqref="S27">
    <cfRule type="cellIs" dxfId="2473" priority="2605" stopIfTrue="1" operator="equal">
      <formula>"N/A"</formula>
    </cfRule>
  </conditionalFormatting>
  <conditionalFormatting sqref="T27">
    <cfRule type="expression" dxfId="2472" priority="2602" stopIfTrue="1">
      <formula>IF(OR(T27="Y",T27="y",T27="Partial",T27="partial"),TRUE,FALSE)=FALSE</formula>
    </cfRule>
    <cfRule type="expression" dxfId="2471" priority="2603" stopIfTrue="1">
      <formula>IF(OR(T27="Partial",T27="partial"),TRUE,FALSE)=TRUE</formula>
    </cfRule>
    <cfRule type="expression" dxfId="2470" priority="2604" stopIfTrue="1">
      <formula>IF(OR(T27="Y",T27="y"),TRUE,FALSE)=TRUE</formula>
    </cfRule>
  </conditionalFormatting>
  <conditionalFormatting sqref="T27">
    <cfRule type="cellIs" dxfId="2469" priority="2601" stopIfTrue="1" operator="equal">
      <formula>"N/A"</formula>
    </cfRule>
  </conditionalFormatting>
  <conditionalFormatting sqref="U27">
    <cfRule type="expression" dxfId="2468" priority="2598" stopIfTrue="1">
      <formula>IF(OR(U27="Y",U27="y",U27="Partial",U27="partial"),TRUE,FALSE)=FALSE</formula>
    </cfRule>
    <cfRule type="expression" dxfId="2467" priority="2599" stopIfTrue="1">
      <formula>IF(OR(U27="Partial",U27="partial"),TRUE,FALSE)=TRUE</formula>
    </cfRule>
    <cfRule type="expression" dxfId="2466" priority="2600" stopIfTrue="1">
      <formula>IF(OR(U27="Y",U27="y"),TRUE,FALSE)=TRUE</formula>
    </cfRule>
  </conditionalFormatting>
  <conditionalFormatting sqref="U27">
    <cfRule type="cellIs" dxfId="2465" priority="2597" stopIfTrue="1" operator="equal">
      <formula>"N/A"</formula>
    </cfRule>
  </conditionalFormatting>
  <conditionalFormatting sqref="V27">
    <cfRule type="expression" dxfId="2464" priority="2594" stopIfTrue="1">
      <formula>IF(OR(V27="Y",V27="y",V27="Partial",V27="partial"),TRUE,FALSE)=FALSE</formula>
    </cfRule>
    <cfRule type="expression" dxfId="2463" priority="2595" stopIfTrue="1">
      <formula>IF(OR(V27="Partial",V27="partial"),TRUE,FALSE)=TRUE</formula>
    </cfRule>
    <cfRule type="expression" dxfId="2462" priority="2596" stopIfTrue="1">
      <formula>IF(OR(V27="Y",V27="y"),TRUE,FALSE)=TRUE</formula>
    </cfRule>
  </conditionalFormatting>
  <conditionalFormatting sqref="V27">
    <cfRule type="cellIs" dxfId="2461" priority="2593" stopIfTrue="1" operator="equal">
      <formula>"N/A"</formula>
    </cfRule>
  </conditionalFormatting>
  <conditionalFormatting sqref="W27">
    <cfRule type="expression" dxfId="2460" priority="2590" stopIfTrue="1">
      <formula>IF(OR(W27="Y",W27="y",W27="Partial",W27="partial"),TRUE,FALSE)=FALSE</formula>
    </cfRule>
    <cfRule type="expression" dxfId="2459" priority="2591" stopIfTrue="1">
      <formula>IF(OR(W27="Partial",W27="partial"),TRUE,FALSE)=TRUE</formula>
    </cfRule>
    <cfRule type="expression" dxfId="2458" priority="2592" stopIfTrue="1">
      <formula>IF(OR(W27="Y",W27="y"),TRUE,FALSE)=TRUE</formula>
    </cfRule>
  </conditionalFormatting>
  <conditionalFormatting sqref="W27">
    <cfRule type="cellIs" dxfId="2457" priority="2589" stopIfTrue="1" operator="equal">
      <formula>"N/A"</formula>
    </cfRule>
  </conditionalFormatting>
  <conditionalFormatting sqref="X27">
    <cfRule type="expression" dxfId="2456" priority="2586" stopIfTrue="1">
      <formula>IF(OR(X27="Y",X27="y",X27="Partial",X27="partial"),TRUE,FALSE)=FALSE</formula>
    </cfRule>
    <cfRule type="expression" dxfId="2455" priority="2587" stopIfTrue="1">
      <formula>IF(OR(X27="Partial",X27="partial"),TRUE,FALSE)=TRUE</formula>
    </cfRule>
    <cfRule type="expression" dxfId="2454" priority="2588" stopIfTrue="1">
      <formula>IF(OR(X27="Y",X27="y"),TRUE,FALSE)=TRUE</formula>
    </cfRule>
  </conditionalFormatting>
  <conditionalFormatting sqref="X27">
    <cfRule type="cellIs" dxfId="2453" priority="2585" stopIfTrue="1" operator="equal">
      <formula>"N/A"</formula>
    </cfRule>
  </conditionalFormatting>
  <conditionalFormatting sqref="H28">
    <cfRule type="expression" dxfId="2452" priority="2582" stopIfTrue="1">
      <formula>IF(OR(H28="Y",H28="y",H28="Partial",H28="partial"),TRUE,FALSE)=FALSE</formula>
    </cfRule>
    <cfRule type="expression" dxfId="2451" priority="2583" stopIfTrue="1">
      <formula>IF(OR(H28="Partial",H28="partial"),TRUE,FALSE)=TRUE</formula>
    </cfRule>
    <cfRule type="expression" dxfId="2450" priority="2584" stopIfTrue="1">
      <formula>IF(OR(H28="Y",H28="y"),TRUE,FALSE)=TRUE</formula>
    </cfRule>
  </conditionalFormatting>
  <conditionalFormatting sqref="H28">
    <cfRule type="cellIs" dxfId="2449" priority="2581" stopIfTrue="1" operator="equal">
      <formula>"N/A"</formula>
    </cfRule>
  </conditionalFormatting>
  <conditionalFormatting sqref="I28">
    <cfRule type="expression" dxfId="2448" priority="2578" stopIfTrue="1">
      <formula>IF(OR(I28="Y",I28="y",I28="Partial",I28="partial"),TRUE,FALSE)=FALSE</formula>
    </cfRule>
    <cfRule type="expression" dxfId="2447" priority="2579" stopIfTrue="1">
      <formula>IF(OR(I28="Partial",I28="partial"),TRUE,FALSE)=TRUE</formula>
    </cfRule>
    <cfRule type="expression" dxfId="2446" priority="2580" stopIfTrue="1">
      <formula>IF(OR(I28="Y",I28="y"),TRUE,FALSE)=TRUE</formula>
    </cfRule>
  </conditionalFormatting>
  <conditionalFormatting sqref="I28">
    <cfRule type="cellIs" dxfId="2445" priority="2577" stopIfTrue="1" operator="equal">
      <formula>"N/A"</formula>
    </cfRule>
  </conditionalFormatting>
  <conditionalFormatting sqref="J28">
    <cfRule type="expression" dxfId="2444" priority="2574" stopIfTrue="1">
      <formula>IF(OR(J28="Y",J28="y",J28="Partial",J28="partial"),TRUE,FALSE)=FALSE</formula>
    </cfRule>
    <cfRule type="expression" dxfId="2443" priority="2575" stopIfTrue="1">
      <formula>IF(OR(J28="Partial",J28="partial"),TRUE,FALSE)=TRUE</formula>
    </cfRule>
    <cfRule type="expression" dxfId="2442" priority="2576" stopIfTrue="1">
      <formula>IF(OR(J28="Y",J28="y"),TRUE,FALSE)=TRUE</formula>
    </cfRule>
  </conditionalFormatting>
  <conditionalFormatting sqref="J28">
    <cfRule type="cellIs" dxfId="2441" priority="2573" stopIfTrue="1" operator="equal">
      <formula>"N/A"</formula>
    </cfRule>
  </conditionalFormatting>
  <conditionalFormatting sqref="K28">
    <cfRule type="expression" dxfId="2440" priority="2570" stopIfTrue="1">
      <formula>IF(OR(K28="Y",K28="y",K28="Partial",K28="partial"),TRUE,FALSE)=FALSE</formula>
    </cfRule>
    <cfRule type="expression" dxfId="2439" priority="2571" stopIfTrue="1">
      <formula>IF(OR(K28="Partial",K28="partial"),TRUE,FALSE)=TRUE</formula>
    </cfRule>
    <cfRule type="expression" dxfId="2438" priority="2572" stopIfTrue="1">
      <formula>IF(OR(K28="Y",K28="y"),TRUE,FALSE)=TRUE</formula>
    </cfRule>
  </conditionalFormatting>
  <conditionalFormatting sqref="K28">
    <cfRule type="cellIs" dxfId="2437" priority="2569" stopIfTrue="1" operator="equal">
      <formula>"N/A"</formula>
    </cfRule>
  </conditionalFormatting>
  <conditionalFormatting sqref="L28">
    <cfRule type="expression" dxfId="2436" priority="2566" stopIfTrue="1">
      <formula>IF(OR(L28="Y",L28="y",L28="Partial",L28="partial"),TRUE,FALSE)=FALSE</formula>
    </cfRule>
    <cfRule type="expression" dxfId="2435" priority="2567" stopIfTrue="1">
      <formula>IF(OR(L28="Partial",L28="partial"),TRUE,FALSE)=TRUE</formula>
    </cfRule>
    <cfRule type="expression" dxfId="2434" priority="2568" stopIfTrue="1">
      <formula>IF(OR(L28="Y",L28="y"),TRUE,FALSE)=TRUE</formula>
    </cfRule>
  </conditionalFormatting>
  <conditionalFormatting sqref="L28">
    <cfRule type="cellIs" dxfId="2433" priority="2565" stopIfTrue="1" operator="equal">
      <formula>"N/A"</formula>
    </cfRule>
  </conditionalFormatting>
  <conditionalFormatting sqref="M28">
    <cfRule type="expression" dxfId="2432" priority="2562" stopIfTrue="1">
      <formula>IF(OR(M28="Y",M28="y",M28="Partial",M28="partial"),TRUE,FALSE)=FALSE</formula>
    </cfRule>
    <cfRule type="expression" dxfId="2431" priority="2563" stopIfTrue="1">
      <formula>IF(OR(M28="Partial",M28="partial"),TRUE,FALSE)=TRUE</formula>
    </cfRule>
    <cfRule type="expression" dxfId="2430" priority="2564" stopIfTrue="1">
      <formula>IF(OR(M28="Y",M28="y"),TRUE,FALSE)=TRUE</formula>
    </cfRule>
  </conditionalFormatting>
  <conditionalFormatting sqref="M28">
    <cfRule type="cellIs" dxfId="2429" priority="2561" stopIfTrue="1" operator="equal">
      <formula>"N/A"</formula>
    </cfRule>
  </conditionalFormatting>
  <conditionalFormatting sqref="N28">
    <cfRule type="expression" dxfId="2428" priority="2558" stopIfTrue="1">
      <formula>IF(OR(N28="Y",N28="y",N28="Partial",N28="partial"),TRUE,FALSE)=FALSE</formula>
    </cfRule>
    <cfRule type="expression" dxfId="2427" priority="2559" stopIfTrue="1">
      <formula>IF(OR(N28="Partial",N28="partial"),TRUE,FALSE)=TRUE</formula>
    </cfRule>
    <cfRule type="expression" dxfId="2426" priority="2560" stopIfTrue="1">
      <formula>IF(OR(N28="Y",N28="y"),TRUE,FALSE)=TRUE</formula>
    </cfRule>
  </conditionalFormatting>
  <conditionalFormatting sqref="N28">
    <cfRule type="cellIs" dxfId="2425" priority="2557" stopIfTrue="1" operator="equal">
      <formula>"N/A"</formula>
    </cfRule>
  </conditionalFormatting>
  <conditionalFormatting sqref="O28">
    <cfRule type="expression" dxfId="2424" priority="2554" stopIfTrue="1">
      <formula>IF(OR(O28="Y",O28="y",O28="Partial",O28="partial"),TRUE,FALSE)=FALSE</formula>
    </cfRule>
    <cfRule type="expression" dxfId="2423" priority="2555" stopIfTrue="1">
      <formula>IF(OR(O28="Partial",O28="partial"),TRUE,FALSE)=TRUE</formula>
    </cfRule>
    <cfRule type="expression" dxfId="2422" priority="2556" stopIfTrue="1">
      <formula>IF(OR(O28="Y",O28="y"),TRUE,FALSE)=TRUE</formula>
    </cfRule>
  </conditionalFormatting>
  <conditionalFormatting sqref="O28">
    <cfRule type="cellIs" dxfId="2421" priority="2553" stopIfTrue="1" operator="equal">
      <formula>"N/A"</formula>
    </cfRule>
  </conditionalFormatting>
  <conditionalFormatting sqref="P28">
    <cfRule type="expression" dxfId="2420" priority="2550" stopIfTrue="1">
      <formula>IF(OR(P28="Y",P28="y",P28="Partial",P28="partial"),TRUE,FALSE)=FALSE</formula>
    </cfRule>
    <cfRule type="expression" dxfId="2419" priority="2551" stopIfTrue="1">
      <formula>IF(OR(P28="Partial",P28="partial"),TRUE,FALSE)=TRUE</formula>
    </cfRule>
    <cfRule type="expression" dxfId="2418" priority="2552" stopIfTrue="1">
      <formula>IF(OR(P28="Y",P28="y"),TRUE,FALSE)=TRUE</formula>
    </cfRule>
  </conditionalFormatting>
  <conditionalFormatting sqref="P28">
    <cfRule type="cellIs" dxfId="2417" priority="2549" stopIfTrue="1" operator="equal">
      <formula>"N/A"</formula>
    </cfRule>
  </conditionalFormatting>
  <conditionalFormatting sqref="R28">
    <cfRule type="expression" dxfId="2416" priority="2542" stopIfTrue="1">
      <formula>IF(OR(R28="Y",R28="y",R28="Partial",R28="partial"),TRUE,FALSE)=FALSE</formula>
    </cfRule>
    <cfRule type="expression" dxfId="2415" priority="2543" stopIfTrue="1">
      <formula>IF(OR(R28="Partial",R28="partial"),TRUE,FALSE)=TRUE</formula>
    </cfRule>
    <cfRule type="expression" dxfId="2414" priority="2544" stopIfTrue="1">
      <formula>IF(OR(R28="Y",R28="y"),TRUE,FALSE)=TRUE</formula>
    </cfRule>
  </conditionalFormatting>
  <conditionalFormatting sqref="R28">
    <cfRule type="cellIs" dxfId="2413" priority="2541" stopIfTrue="1" operator="equal">
      <formula>"N/A"</formula>
    </cfRule>
  </conditionalFormatting>
  <conditionalFormatting sqref="S28">
    <cfRule type="expression" dxfId="2412" priority="2538" stopIfTrue="1">
      <formula>IF(OR(S28="Y",S28="y",S28="Partial",S28="partial"),TRUE,FALSE)=FALSE</formula>
    </cfRule>
    <cfRule type="expression" dxfId="2411" priority="2539" stopIfTrue="1">
      <formula>IF(OR(S28="Partial",S28="partial"),TRUE,FALSE)=TRUE</formula>
    </cfRule>
    <cfRule type="expression" dxfId="2410" priority="2540" stopIfTrue="1">
      <formula>IF(OR(S28="Y",S28="y"),TRUE,FALSE)=TRUE</formula>
    </cfRule>
  </conditionalFormatting>
  <conditionalFormatting sqref="S28">
    <cfRule type="cellIs" dxfId="2409" priority="2537" stopIfTrue="1" operator="equal">
      <formula>"N/A"</formula>
    </cfRule>
  </conditionalFormatting>
  <conditionalFormatting sqref="T28">
    <cfRule type="expression" dxfId="2408" priority="2534" stopIfTrue="1">
      <formula>IF(OR(T28="Y",T28="y",T28="Partial",T28="partial"),TRUE,FALSE)=FALSE</formula>
    </cfRule>
    <cfRule type="expression" dxfId="2407" priority="2535" stopIfTrue="1">
      <formula>IF(OR(T28="Partial",T28="partial"),TRUE,FALSE)=TRUE</formula>
    </cfRule>
    <cfRule type="expression" dxfId="2406" priority="2536" stopIfTrue="1">
      <formula>IF(OR(T28="Y",T28="y"),TRUE,FALSE)=TRUE</formula>
    </cfRule>
  </conditionalFormatting>
  <conditionalFormatting sqref="T28">
    <cfRule type="cellIs" dxfId="2405" priority="2533" stopIfTrue="1" operator="equal">
      <formula>"N/A"</formula>
    </cfRule>
  </conditionalFormatting>
  <conditionalFormatting sqref="U28">
    <cfRule type="expression" dxfId="2404" priority="2530" stopIfTrue="1">
      <formula>IF(OR(U28="Y",U28="y",U28="Partial",U28="partial"),TRUE,FALSE)=FALSE</formula>
    </cfRule>
    <cfRule type="expression" dxfId="2403" priority="2531" stopIfTrue="1">
      <formula>IF(OR(U28="Partial",U28="partial"),TRUE,FALSE)=TRUE</formula>
    </cfRule>
    <cfRule type="expression" dxfId="2402" priority="2532" stopIfTrue="1">
      <formula>IF(OR(U28="Y",U28="y"),TRUE,FALSE)=TRUE</formula>
    </cfRule>
  </conditionalFormatting>
  <conditionalFormatting sqref="U28">
    <cfRule type="cellIs" dxfId="2401" priority="2529" stopIfTrue="1" operator="equal">
      <formula>"N/A"</formula>
    </cfRule>
  </conditionalFormatting>
  <conditionalFormatting sqref="V28">
    <cfRule type="expression" dxfId="2400" priority="2526" stopIfTrue="1">
      <formula>IF(OR(V28="Y",V28="y",V28="Partial",V28="partial"),TRUE,FALSE)=FALSE</formula>
    </cfRule>
    <cfRule type="expression" dxfId="2399" priority="2527" stopIfTrue="1">
      <formula>IF(OR(V28="Partial",V28="partial"),TRUE,FALSE)=TRUE</formula>
    </cfRule>
    <cfRule type="expression" dxfId="2398" priority="2528" stopIfTrue="1">
      <formula>IF(OR(V28="Y",V28="y"),TRUE,FALSE)=TRUE</formula>
    </cfRule>
  </conditionalFormatting>
  <conditionalFormatting sqref="V28">
    <cfRule type="cellIs" dxfId="2397" priority="2525" stopIfTrue="1" operator="equal">
      <formula>"N/A"</formula>
    </cfRule>
  </conditionalFormatting>
  <conditionalFormatting sqref="W28">
    <cfRule type="expression" dxfId="2396" priority="2522" stopIfTrue="1">
      <formula>IF(OR(W28="Y",W28="y",W28="Partial",W28="partial"),TRUE,FALSE)=FALSE</formula>
    </cfRule>
    <cfRule type="expression" dxfId="2395" priority="2523" stopIfTrue="1">
      <formula>IF(OR(W28="Partial",W28="partial"),TRUE,FALSE)=TRUE</formula>
    </cfRule>
    <cfRule type="expression" dxfId="2394" priority="2524" stopIfTrue="1">
      <formula>IF(OR(W28="Y",W28="y"),TRUE,FALSE)=TRUE</formula>
    </cfRule>
  </conditionalFormatting>
  <conditionalFormatting sqref="W28">
    <cfRule type="cellIs" dxfId="2393" priority="2521" stopIfTrue="1" operator="equal">
      <formula>"N/A"</formula>
    </cfRule>
  </conditionalFormatting>
  <conditionalFormatting sqref="X28">
    <cfRule type="expression" dxfId="2392" priority="2518" stopIfTrue="1">
      <formula>IF(OR(X28="Y",X28="y",X28="Partial",X28="partial"),TRUE,FALSE)=FALSE</formula>
    </cfRule>
    <cfRule type="expression" dxfId="2391" priority="2519" stopIfTrue="1">
      <formula>IF(OR(X28="Partial",X28="partial"),TRUE,FALSE)=TRUE</formula>
    </cfRule>
    <cfRule type="expression" dxfId="2390" priority="2520" stopIfTrue="1">
      <formula>IF(OR(X28="Y",X28="y"),TRUE,FALSE)=TRUE</formula>
    </cfRule>
  </conditionalFormatting>
  <conditionalFormatting sqref="X28">
    <cfRule type="cellIs" dxfId="2389" priority="2517" stopIfTrue="1" operator="equal">
      <formula>"N/A"</formula>
    </cfRule>
  </conditionalFormatting>
  <conditionalFormatting sqref="H29">
    <cfRule type="expression" dxfId="2388" priority="2514" stopIfTrue="1">
      <formula>IF(OR(H29="Y",H29="y",H29="Partial",H29="partial"),TRUE,FALSE)=FALSE</formula>
    </cfRule>
    <cfRule type="expression" dxfId="2387" priority="2515" stopIfTrue="1">
      <formula>IF(OR(H29="Partial",H29="partial"),TRUE,FALSE)=TRUE</formula>
    </cfRule>
    <cfRule type="expression" dxfId="2386" priority="2516" stopIfTrue="1">
      <formula>IF(OR(H29="Y",H29="y"),TRUE,FALSE)=TRUE</formula>
    </cfRule>
  </conditionalFormatting>
  <conditionalFormatting sqref="H29">
    <cfRule type="cellIs" dxfId="2385" priority="2513" stopIfTrue="1" operator="equal">
      <formula>"N/A"</formula>
    </cfRule>
  </conditionalFormatting>
  <conditionalFormatting sqref="I29">
    <cfRule type="expression" dxfId="2384" priority="2510" stopIfTrue="1">
      <formula>IF(OR(I29="Y",I29="y",I29="Partial",I29="partial"),TRUE,FALSE)=FALSE</formula>
    </cfRule>
    <cfRule type="expression" dxfId="2383" priority="2511" stopIfTrue="1">
      <formula>IF(OR(I29="Partial",I29="partial"),TRUE,FALSE)=TRUE</formula>
    </cfRule>
    <cfRule type="expression" dxfId="2382" priority="2512" stopIfTrue="1">
      <formula>IF(OR(I29="Y",I29="y"),TRUE,FALSE)=TRUE</formula>
    </cfRule>
  </conditionalFormatting>
  <conditionalFormatting sqref="I29">
    <cfRule type="cellIs" dxfId="2381" priority="2509" stopIfTrue="1" operator="equal">
      <formula>"N/A"</formula>
    </cfRule>
  </conditionalFormatting>
  <conditionalFormatting sqref="J29">
    <cfRule type="expression" dxfId="2380" priority="2506" stopIfTrue="1">
      <formula>IF(OR(J29="Y",J29="y",J29="Partial",J29="partial"),TRUE,FALSE)=FALSE</formula>
    </cfRule>
    <cfRule type="expression" dxfId="2379" priority="2507" stopIfTrue="1">
      <formula>IF(OR(J29="Partial",J29="partial"),TRUE,FALSE)=TRUE</formula>
    </cfRule>
    <cfRule type="expression" dxfId="2378" priority="2508" stopIfTrue="1">
      <formula>IF(OR(J29="Y",J29="y"),TRUE,FALSE)=TRUE</formula>
    </cfRule>
  </conditionalFormatting>
  <conditionalFormatting sqref="J29">
    <cfRule type="cellIs" dxfId="2377" priority="2505" stopIfTrue="1" operator="equal">
      <formula>"N/A"</formula>
    </cfRule>
  </conditionalFormatting>
  <conditionalFormatting sqref="K29">
    <cfRule type="expression" dxfId="2376" priority="2502" stopIfTrue="1">
      <formula>IF(OR(K29="Y",K29="y",K29="Partial",K29="partial"),TRUE,FALSE)=FALSE</formula>
    </cfRule>
    <cfRule type="expression" dxfId="2375" priority="2503" stopIfTrue="1">
      <formula>IF(OR(K29="Partial",K29="partial"),TRUE,FALSE)=TRUE</formula>
    </cfRule>
    <cfRule type="expression" dxfId="2374" priority="2504" stopIfTrue="1">
      <formula>IF(OR(K29="Y",K29="y"),TRUE,FALSE)=TRUE</formula>
    </cfRule>
  </conditionalFormatting>
  <conditionalFormatting sqref="K29">
    <cfRule type="cellIs" dxfId="2373" priority="2501" stopIfTrue="1" operator="equal">
      <formula>"N/A"</formula>
    </cfRule>
  </conditionalFormatting>
  <conditionalFormatting sqref="L29">
    <cfRule type="expression" dxfId="2372" priority="2498" stopIfTrue="1">
      <formula>IF(OR(L29="Y",L29="y",L29="Partial",L29="partial"),TRUE,FALSE)=FALSE</formula>
    </cfRule>
    <cfRule type="expression" dxfId="2371" priority="2499" stopIfTrue="1">
      <formula>IF(OR(L29="Partial",L29="partial"),TRUE,FALSE)=TRUE</formula>
    </cfRule>
    <cfRule type="expression" dxfId="2370" priority="2500" stopIfTrue="1">
      <formula>IF(OR(L29="Y",L29="y"),TRUE,FALSE)=TRUE</formula>
    </cfRule>
  </conditionalFormatting>
  <conditionalFormatting sqref="L29">
    <cfRule type="cellIs" dxfId="2369" priority="2497" stopIfTrue="1" operator="equal">
      <formula>"N/A"</formula>
    </cfRule>
  </conditionalFormatting>
  <conditionalFormatting sqref="M29">
    <cfRule type="expression" dxfId="2368" priority="2494" stopIfTrue="1">
      <formula>IF(OR(M29="Y",M29="y",M29="Partial",M29="partial"),TRUE,FALSE)=FALSE</formula>
    </cfRule>
    <cfRule type="expression" dxfId="2367" priority="2495" stopIfTrue="1">
      <formula>IF(OR(M29="Partial",M29="partial"),TRUE,FALSE)=TRUE</formula>
    </cfRule>
    <cfRule type="expression" dxfId="2366" priority="2496" stopIfTrue="1">
      <formula>IF(OR(M29="Y",M29="y"),TRUE,FALSE)=TRUE</formula>
    </cfRule>
  </conditionalFormatting>
  <conditionalFormatting sqref="M29">
    <cfRule type="cellIs" dxfId="2365" priority="2493" stopIfTrue="1" operator="equal">
      <formula>"N/A"</formula>
    </cfRule>
  </conditionalFormatting>
  <conditionalFormatting sqref="N29">
    <cfRule type="expression" dxfId="2364" priority="2490" stopIfTrue="1">
      <formula>IF(OR(N29="Y",N29="y",N29="Partial",N29="partial"),TRUE,FALSE)=FALSE</formula>
    </cfRule>
    <cfRule type="expression" dxfId="2363" priority="2491" stopIfTrue="1">
      <formula>IF(OR(N29="Partial",N29="partial"),TRUE,FALSE)=TRUE</formula>
    </cfRule>
    <cfRule type="expression" dxfId="2362" priority="2492" stopIfTrue="1">
      <formula>IF(OR(N29="Y",N29="y"),TRUE,FALSE)=TRUE</formula>
    </cfRule>
  </conditionalFormatting>
  <conditionalFormatting sqref="N29">
    <cfRule type="cellIs" dxfId="2361" priority="2489" stopIfTrue="1" operator="equal">
      <formula>"N/A"</formula>
    </cfRule>
  </conditionalFormatting>
  <conditionalFormatting sqref="O29">
    <cfRule type="expression" dxfId="2360" priority="2486" stopIfTrue="1">
      <formula>IF(OR(O29="Y",O29="y",O29="Partial",O29="partial"),TRUE,FALSE)=FALSE</formula>
    </cfRule>
    <cfRule type="expression" dxfId="2359" priority="2487" stopIfTrue="1">
      <formula>IF(OR(O29="Partial",O29="partial"),TRUE,FALSE)=TRUE</formula>
    </cfRule>
    <cfRule type="expression" dxfId="2358" priority="2488" stopIfTrue="1">
      <formula>IF(OR(O29="Y",O29="y"),TRUE,FALSE)=TRUE</formula>
    </cfRule>
  </conditionalFormatting>
  <conditionalFormatting sqref="O29">
    <cfRule type="cellIs" dxfId="2357" priority="2485" stopIfTrue="1" operator="equal">
      <formula>"N/A"</formula>
    </cfRule>
  </conditionalFormatting>
  <conditionalFormatting sqref="P29">
    <cfRule type="expression" dxfId="2356" priority="2482" stopIfTrue="1">
      <formula>IF(OR(P29="Y",P29="y",P29="Partial",P29="partial"),TRUE,FALSE)=FALSE</formula>
    </cfRule>
    <cfRule type="expression" dxfId="2355" priority="2483" stopIfTrue="1">
      <formula>IF(OR(P29="Partial",P29="partial"),TRUE,FALSE)=TRUE</formula>
    </cfRule>
    <cfRule type="expression" dxfId="2354" priority="2484" stopIfTrue="1">
      <formula>IF(OR(P29="Y",P29="y"),TRUE,FALSE)=TRUE</formula>
    </cfRule>
  </conditionalFormatting>
  <conditionalFormatting sqref="P29">
    <cfRule type="cellIs" dxfId="2353" priority="2481" stopIfTrue="1" operator="equal">
      <formula>"N/A"</formula>
    </cfRule>
  </conditionalFormatting>
  <conditionalFormatting sqref="R29">
    <cfRule type="expression" dxfId="2352" priority="2474" stopIfTrue="1">
      <formula>IF(OR(R29="Y",R29="y",R29="Partial",R29="partial"),TRUE,FALSE)=FALSE</formula>
    </cfRule>
    <cfRule type="expression" dxfId="2351" priority="2475" stopIfTrue="1">
      <formula>IF(OR(R29="Partial",R29="partial"),TRUE,FALSE)=TRUE</formula>
    </cfRule>
    <cfRule type="expression" dxfId="2350" priority="2476" stopIfTrue="1">
      <formula>IF(OR(R29="Y",R29="y"),TRUE,FALSE)=TRUE</formula>
    </cfRule>
  </conditionalFormatting>
  <conditionalFormatting sqref="R29">
    <cfRule type="cellIs" dxfId="2349" priority="2473" stopIfTrue="1" operator="equal">
      <formula>"N/A"</formula>
    </cfRule>
  </conditionalFormatting>
  <conditionalFormatting sqref="S29">
    <cfRule type="expression" dxfId="2348" priority="2470" stopIfTrue="1">
      <formula>IF(OR(S29="Y",S29="y",S29="Partial",S29="partial"),TRUE,FALSE)=FALSE</formula>
    </cfRule>
    <cfRule type="expression" dxfId="2347" priority="2471" stopIfTrue="1">
      <formula>IF(OR(S29="Partial",S29="partial"),TRUE,FALSE)=TRUE</formula>
    </cfRule>
    <cfRule type="expression" dxfId="2346" priority="2472" stopIfTrue="1">
      <formula>IF(OR(S29="Y",S29="y"),TRUE,FALSE)=TRUE</formula>
    </cfRule>
  </conditionalFormatting>
  <conditionalFormatting sqref="S29">
    <cfRule type="cellIs" dxfId="2345" priority="2469" stopIfTrue="1" operator="equal">
      <formula>"N/A"</formula>
    </cfRule>
  </conditionalFormatting>
  <conditionalFormatting sqref="T29">
    <cfRule type="expression" dxfId="2344" priority="2466" stopIfTrue="1">
      <formula>IF(OR(T29="Y",T29="y",T29="Partial",T29="partial"),TRUE,FALSE)=FALSE</formula>
    </cfRule>
    <cfRule type="expression" dxfId="2343" priority="2467" stopIfTrue="1">
      <formula>IF(OR(T29="Partial",T29="partial"),TRUE,FALSE)=TRUE</formula>
    </cfRule>
    <cfRule type="expression" dxfId="2342" priority="2468" stopIfTrue="1">
      <formula>IF(OR(T29="Y",T29="y"),TRUE,FALSE)=TRUE</formula>
    </cfRule>
  </conditionalFormatting>
  <conditionalFormatting sqref="T29">
    <cfRule type="cellIs" dxfId="2341" priority="2465" stopIfTrue="1" operator="equal">
      <formula>"N/A"</formula>
    </cfRule>
  </conditionalFormatting>
  <conditionalFormatting sqref="U29">
    <cfRule type="expression" dxfId="2340" priority="2462" stopIfTrue="1">
      <formula>IF(OR(U29="Y",U29="y",U29="Partial",U29="partial"),TRUE,FALSE)=FALSE</formula>
    </cfRule>
    <cfRule type="expression" dxfId="2339" priority="2463" stopIfTrue="1">
      <formula>IF(OR(U29="Partial",U29="partial"),TRUE,FALSE)=TRUE</formula>
    </cfRule>
    <cfRule type="expression" dxfId="2338" priority="2464" stopIfTrue="1">
      <formula>IF(OR(U29="Y",U29="y"),TRUE,FALSE)=TRUE</formula>
    </cfRule>
  </conditionalFormatting>
  <conditionalFormatting sqref="U29">
    <cfRule type="cellIs" dxfId="2337" priority="2461" stopIfTrue="1" operator="equal">
      <formula>"N/A"</formula>
    </cfRule>
  </conditionalFormatting>
  <conditionalFormatting sqref="V29">
    <cfRule type="expression" dxfId="2336" priority="2458" stopIfTrue="1">
      <formula>IF(OR(V29="Y",V29="y",V29="Partial",V29="partial"),TRUE,FALSE)=FALSE</formula>
    </cfRule>
    <cfRule type="expression" dxfId="2335" priority="2459" stopIfTrue="1">
      <formula>IF(OR(V29="Partial",V29="partial"),TRUE,FALSE)=TRUE</formula>
    </cfRule>
    <cfRule type="expression" dxfId="2334" priority="2460" stopIfTrue="1">
      <formula>IF(OR(V29="Y",V29="y"),TRUE,FALSE)=TRUE</formula>
    </cfRule>
  </conditionalFormatting>
  <conditionalFormatting sqref="V29">
    <cfRule type="cellIs" dxfId="2333" priority="2457" stopIfTrue="1" operator="equal">
      <formula>"N/A"</formula>
    </cfRule>
  </conditionalFormatting>
  <conditionalFormatting sqref="W29">
    <cfRule type="expression" dxfId="2332" priority="2454" stopIfTrue="1">
      <formula>IF(OR(W29="Y",W29="y",W29="Partial",W29="partial"),TRUE,FALSE)=FALSE</formula>
    </cfRule>
    <cfRule type="expression" dxfId="2331" priority="2455" stopIfTrue="1">
      <formula>IF(OR(W29="Partial",W29="partial"),TRUE,FALSE)=TRUE</formula>
    </cfRule>
    <cfRule type="expression" dxfId="2330" priority="2456" stopIfTrue="1">
      <formula>IF(OR(W29="Y",W29="y"),TRUE,FALSE)=TRUE</formula>
    </cfRule>
  </conditionalFormatting>
  <conditionalFormatting sqref="W29">
    <cfRule type="cellIs" dxfId="2329" priority="2453" stopIfTrue="1" operator="equal">
      <formula>"N/A"</formula>
    </cfRule>
  </conditionalFormatting>
  <conditionalFormatting sqref="X29">
    <cfRule type="expression" dxfId="2328" priority="2450" stopIfTrue="1">
      <formula>IF(OR(X29="Y",X29="y",X29="Partial",X29="partial"),TRUE,FALSE)=FALSE</formula>
    </cfRule>
    <cfRule type="expression" dxfId="2327" priority="2451" stopIfTrue="1">
      <formula>IF(OR(X29="Partial",X29="partial"),TRUE,FALSE)=TRUE</formula>
    </cfRule>
    <cfRule type="expression" dxfId="2326" priority="2452" stopIfTrue="1">
      <formula>IF(OR(X29="Y",X29="y"),TRUE,FALSE)=TRUE</formula>
    </cfRule>
  </conditionalFormatting>
  <conditionalFormatting sqref="X29">
    <cfRule type="cellIs" dxfId="2325" priority="2449" stopIfTrue="1" operator="equal">
      <formula>"N/A"</formula>
    </cfRule>
  </conditionalFormatting>
  <conditionalFormatting sqref="H30">
    <cfRule type="expression" dxfId="2324" priority="2446" stopIfTrue="1">
      <formula>IF(OR(H30="Y",H30="y",H30="Partial",H30="partial"),TRUE,FALSE)=FALSE</formula>
    </cfRule>
    <cfRule type="expression" dxfId="2323" priority="2447" stopIfTrue="1">
      <formula>IF(OR(H30="Partial",H30="partial"),TRUE,FALSE)=TRUE</formula>
    </cfRule>
    <cfRule type="expression" dxfId="2322" priority="2448" stopIfTrue="1">
      <formula>IF(OR(H30="Y",H30="y"),TRUE,FALSE)=TRUE</formula>
    </cfRule>
  </conditionalFormatting>
  <conditionalFormatting sqref="H30">
    <cfRule type="cellIs" dxfId="2321" priority="2445" stopIfTrue="1" operator="equal">
      <formula>"N/A"</formula>
    </cfRule>
  </conditionalFormatting>
  <conditionalFormatting sqref="I30">
    <cfRule type="expression" dxfId="2320" priority="2442" stopIfTrue="1">
      <formula>IF(OR(I30="Y",I30="y",I30="Partial",I30="partial"),TRUE,FALSE)=FALSE</formula>
    </cfRule>
    <cfRule type="expression" dxfId="2319" priority="2443" stopIfTrue="1">
      <formula>IF(OR(I30="Partial",I30="partial"),TRUE,FALSE)=TRUE</formula>
    </cfRule>
    <cfRule type="expression" dxfId="2318" priority="2444" stopIfTrue="1">
      <formula>IF(OR(I30="Y",I30="y"),TRUE,FALSE)=TRUE</formula>
    </cfRule>
  </conditionalFormatting>
  <conditionalFormatting sqref="I30">
    <cfRule type="cellIs" dxfId="2317" priority="2441" stopIfTrue="1" operator="equal">
      <formula>"N/A"</formula>
    </cfRule>
  </conditionalFormatting>
  <conditionalFormatting sqref="J30">
    <cfRule type="expression" dxfId="2316" priority="2438" stopIfTrue="1">
      <formula>IF(OR(J30="Y",J30="y",J30="Partial",J30="partial"),TRUE,FALSE)=FALSE</formula>
    </cfRule>
    <cfRule type="expression" dxfId="2315" priority="2439" stopIfTrue="1">
      <formula>IF(OR(J30="Partial",J30="partial"),TRUE,FALSE)=TRUE</formula>
    </cfRule>
    <cfRule type="expression" dxfId="2314" priority="2440" stopIfTrue="1">
      <formula>IF(OR(J30="Y",J30="y"),TRUE,FALSE)=TRUE</formula>
    </cfRule>
  </conditionalFormatting>
  <conditionalFormatting sqref="J30">
    <cfRule type="cellIs" dxfId="2313" priority="2437" stopIfTrue="1" operator="equal">
      <formula>"N/A"</formula>
    </cfRule>
  </conditionalFormatting>
  <conditionalFormatting sqref="K30">
    <cfRule type="expression" dxfId="2312" priority="2434" stopIfTrue="1">
      <formula>IF(OR(K30="Y",K30="y",K30="Partial",K30="partial"),TRUE,FALSE)=FALSE</formula>
    </cfRule>
    <cfRule type="expression" dxfId="2311" priority="2435" stopIfTrue="1">
      <formula>IF(OR(K30="Partial",K30="partial"),TRUE,FALSE)=TRUE</formula>
    </cfRule>
    <cfRule type="expression" dxfId="2310" priority="2436" stopIfTrue="1">
      <formula>IF(OR(K30="Y",K30="y"),TRUE,FALSE)=TRUE</formula>
    </cfRule>
  </conditionalFormatting>
  <conditionalFormatting sqref="K30">
    <cfRule type="cellIs" dxfId="2309" priority="2433" stopIfTrue="1" operator="equal">
      <formula>"N/A"</formula>
    </cfRule>
  </conditionalFormatting>
  <conditionalFormatting sqref="L30">
    <cfRule type="expression" dxfId="2308" priority="2430" stopIfTrue="1">
      <formula>IF(OR(L30="Y",L30="y",L30="Partial",L30="partial"),TRUE,FALSE)=FALSE</formula>
    </cfRule>
    <cfRule type="expression" dxfId="2307" priority="2431" stopIfTrue="1">
      <formula>IF(OR(L30="Partial",L30="partial"),TRUE,FALSE)=TRUE</formula>
    </cfRule>
    <cfRule type="expression" dxfId="2306" priority="2432" stopIfTrue="1">
      <formula>IF(OR(L30="Y",L30="y"),TRUE,FALSE)=TRUE</formula>
    </cfRule>
  </conditionalFormatting>
  <conditionalFormatting sqref="L30">
    <cfRule type="cellIs" dxfId="2305" priority="2429" stopIfTrue="1" operator="equal">
      <formula>"N/A"</formula>
    </cfRule>
  </conditionalFormatting>
  <conditionalFormatting sqref="M30">
    <cfRule type="expression" dxfId="2304" priority="2426" stopIfTrue="1">
      <formula>IF(OR(M30="Y",M30="y",M30="Partial",M30="partial"),TRUE,FALSE)=FALSE</formula>
    </cfRule>
    <cfRule type="expression" dxfId="2303" priority="2427" stopIfTrue="1">
      <formula>IF(OR(M30="Partial",M30="partial"),TRUE,FALSE)=TRUE</formula>
    </cfRule>
    <cfRule type="expression" dxfId="2302" priority="2428" stopIfTrue="1">
      <formula>IF(OR(M30="Y",M30="y"),TRUE,FALSE)=TRUE</formula>
    </cfRule>
  </conditionalFormatting>
  <conditionalFormatting sqref="M30">
    <cfRule type="cellIs" dxfId="2301" priority="2425" stopIfTrue="1" operator="equal">
      <formula>"N/A"</formula>
    </cfRule>
  </conditionalFormatting>
  <conditionalFormatting sqref="N30">
    <cfRule type="expression" dxfId="2300" priority="2422" stopIfTrue="1">
      <formula>IF(OR(N30="Y",N30="y",N30="Partial",N30="partial"),TRUE,FALSE)=FALSE</formula>
    </cfRule>
    <cfRule type="expression" dxfId="2299" priority="2423" stopIfTrue="1">
      <formula>IF(OR(N30="Partial",N30="partial"),TRUE,FALSE)=TRUE</formula>
    </cfRule>
    <cfRule type="expression" dxfId="2298" priority="2424" stopIfTrue="1">
      <formula>IF(OR(N30="Y",N30="y"),TRUE,FALSE)=TRUE</formula>
    </cfRule>
  </conditionalFormatting>
  <conditionalFormatting sqref="N30">
    <cfRule type="cellIs" dxfId="2297" priority="2421" stopIfTrue="1" operator="equal">
      <formula>"N/A"</formula>
    </cfRule>
  </conditionalFormatting>
  <conditionalFormatting sqref="O30">
    <cfRule type="expression" dxfId="2296" priority="2418" stopIfTrue="1">
      <formula>IF(OR(O30="Y",O30="y",O30="Partial",O30="partial"),TRUE,FALSE)=FALSE</formula>
    </cfRule>
    <cfRule type="expression" dxfId="2295" priority="2419" stopIfTrue="1">
      <formula>IF(OR(O30="Partial",O30="partial"),TRUE,FALSE)=TRUE</formula>
    </cfRule>
    <cfRule type="expression" dxfId="2294" priority="2420" stopIfTrue="1">
      <formula>IF(OR(O30="Y",O30="y"),TRUE,FALSE)=TRUE</formula>
    </cfRule>
  </conditionalFormatting>
  <conditionalFormatting sqref="O30">
    <cfRule type="cellIs" dxfId="2293" priority="2417" stopIfTrue="1" operator="equal">
      <formula>"N/A"</formula>
    </cfRule>
  </conditionalFormatting>
  <conditionalFormatting sqref="P30">
    <cfRule type="expression" dxfId="2292" priority="2414" stopIfTrue="1">
      <formula>IF(OR(P30="Y",P30="y",P30="Partial",P30="partial"),TRUE,FALSE)=FALSE</formula>
    </cfRule>
    <cfRule type="expression" dxfId="2291" priority="2415" stopIfTrue="1">
      <formula>IF(OR(P30="Partial",P30="partial"),TRUE,FALSE)=TRUE</formula>
    </cfRule>
    <cfRule type="expression" dxfId="2290" priority="2416" stopIfTrue="1">
      <formula>IF(OR(P30="Y",P30="y"),TRUE,FALSE)=TRUE</formula>
    </cfRule>
  </conditionalFormatting>
  <conditionalFormatting sqref="P30">
    <cfRule type="cellIs" dxfId="2289" priority="2413" stopIfTrue="1" operator="equal">
      <formula>"N/A"</formula>
    </cfRule>
  </conditionalFormatting>
  <conditionalFormatting sqref="R30">
    <cfRule type="expression" dxfId="2288" priority="2406" stopIfTrue="1">
      <formula>IF(OR(R30="Y",R30="y",R30="Partial",R30="partial"),TRUE,FALSE)=FALSE</formula>
    </cfRule>
    <cfRule type="expression" dxfId="2287" priority="2407" stopIfTrue="1">
      <formula>IF(OR(R30="Partial",R30="partial"),TRUE,FALSE)=TRUE</formula>
    </cfRule>
    <cfRule type="expression" dxfId="2286" priority="2408" stopIfTrue="1">
      <formula>IF(OR(R30="Y",R30="y"),TRUE,FALSE)=TRUE</formula>
    </cfRule>
  </conditionalFormatting>
  <conditionalFormatting sqref="R30">
    <cfRule type="cellIs" dxfId="2285" priority="2405" stopIfTrue="1" operator="equal">
      <formula>"N/A"</formula>
    </cfRule>
  </conditionalFormatting>
  <conditionalFormatting sqref="S30">
    <cfRule type="expression" dxfId="2284" priority="2402" stopIfTrue="1">
      <formula>IF(OR(S30="Y",S30="y",S30="Partial",S30="partial"),TRUE,FALSE)=FALSE</formula>
    </cfRule>
    <cfRule type="expression" dxfId="2283" priority="2403" stopIfTrue="1">
      <formula>IF(OR(S30="Partial",S30="partial"),TRUE,FALSE)=TRUE</formula>
    </cfRule>
    <cfRule type="expression" dxfId="2282" priority="2404" stopIfTrue="1">
      <formula>IF(OR(S30="Y",S30="y"),TRUE,FALSE)=TRUE</formula>
    </cfRule>
  </conditionalFormatting>
  <conditionalFormatting sqref="S30">
    <cfRule type="cellIs" dxfId="2281" priority="2401" stopIfTrue="1" operator="equal">
      <formula>"N/A"</formula>
    </cfRule>
  </conditionalFormatting>
  <conditionalFormatting sqref="T30">
    <cfRule type="expression" dxfId="2280" priority="2398" stopIfTrue="1">
      <formula>IF(OR(T30="Y",T30="y",T30="Partial",T30="partial"),TRUE,FALSE)=FALSE</formula>
    </cfRule>
    <cfRule type="expression" dxfId="2279" priority="2399" stopIfTrue="1">
      <formula>IF(OR(T30="Partial",T30="partial"),TRUE,FALSE)=TRUE</formula>
    </cfRule>
    <cfRule type="expression" dxfId="2278" priority="2400" stopIfTrue="1">
      <formula>IF(OR(T30="Y",T30="y"),TRUE,FALSE)=TRUE</formula>
    </cfRule>
  </conditionalFormatting>
  <conditionalFormatting sqref="T30">
    <cfRule type="cellIs" dxfId="2277" priority="2397" stopIfTrue="1" operator="equal">
      <formula>"N/A"</formula>
    </cfRule>
  </conditionalFormatting>
  <conditionalFormatting sqref="U30">
    <cfRule type="expression" dxfId="2276" priority="2394" stopIfTrue="1">
      <formula>IF(OR(U30="Y",U30="y",U30="Partial",U30="partial"),TRUE,FALSE)=FALSE</formula>
    </cfRule>
    <cfRule type="expression" dxfId="2275" priority="2395" stopIfTrue="1">
      <formula>IF(OR(U30="Partial",U30="partial"),TRUE,FALSE)=TRUE</formula>
    </cfRule>
    <cfRule type="expression" dxfId="2274" priority="2396" stopIfTrue="1">
      <formula>IF(OR(U30="Y",U30="y"),TRUE,FALSE)=TRUE</formula>
    </cfRule>
  </conditionalFormatting>
  <conditionalFormatting sqref="U30">
    <cfRule type="cellIs" dxfId="2273" priority="2393" stopIfTrue="1" operator="equal">
      <formula>"N/A"</formula>
    </cfRule>
  </conditionalFormatting>
  <conditionalFormatting sqref="V30">
    <cfRule type="expression" dxfId="2272" priority="2390" stopIfTrue="1">
      <formula>IF(OR(V30="Y",V30="y",V30="Partial",V30="partial"),TRUE,FALSE)=FALSE</formula>
    </cfRule>
    <cfRule type="expression" dxfId="2271" priority="2391" stopIfTrue="1">
      <formula>IF(OR(V30="Partial",V30="partial"),TRUE,FALSE)=TRUE</formula>
    </cfRule>
    <cfRule type="expression" dxfId="2270" priority="2392" stopIfTrue="1">
      <formula>IF(OR(V30="Y",V30="y"),TRUE,FALSE)=TRUE</formula>
    </cfRule>
  </conditionalFormatting>
  <conditionalFormatting sqref="V30">
    <cfRule type="cellIs" dxfId="2269" priority="2389" stopIfTrue="1" operator="equal">
      <formula>"N/A"</formula>
    </cfRule>
  </conditionalFormatting>
  <conditionalFormatting sqref="W30">
    <cfRule type="expression" dxfId="2268" priority="2386" stopIfTrue="1">
      <formula>IF(OR(W30="Y",W30="y",W30="Partial",W30="partial"),TRUE,FALSE)=FALSE</formula>
    </cfRule>
    <cfRule type="expression" dxfId="2267" priority="2387" stopIfTrue="1">
      <formula>IF(OR(W30="Partial",W30="partial"),TRUE,FALSE)=TRUE</formula>
    </cfRule>
    <cfRule type="expression" dxfId="2266" priority="2388" stopIfTrue="1">
      <formula>IF(OR(W30="Y",W30="y"),TRUE,FALSE)=TRUE</formula>
    </cfRule>
  </conditionalFormatting>
  <conditionalFormatting sqref="W30">
    <cfRule type="cellIs" dxfId="2265" priority="2385" stopIfTrue="1" operator="equal">
      <formula>"N/A"</formula>
    </cfRule>
  </conditionalFormatting>
  <conditionalFormatting sqref="X30">
    <cfRule type="expression" dxfId="2264" priority="2382" stopIfTrue="1">
      <formula>IF(OR(X30="Y",X30="y",X30="Partial",X30="partial"),TRUE,FALSE)=FALSE</formula>
    </cfRule>
    <cfRule type="expression" dxfId="2263" priority="2383" stopIfTrue="1">
      <formula>IF(OR(X30="Partial",X30="partial"),TRUE,FALSE)=TRUE</formula>
    </cfRule>
    <cfRule type="expression" dxfId="2262" priority="2384" stopIfTrue="1">
      <formula>IF(OR(X30="Y",X30="y"),TRUE,FALSE)=TRUE</formula>
    </cfRule>
  </conditionalFormatting>
  <conditionalFormatting sqref="X30">
    <cfRule type="cellIs" dxfId="2261" priority="2381" stopIfTrue="1" operator="equal">
      <formula>"N/A"</formula>
    </cfRule>
  </conditionalFormatting>
  <conditionalFormatting sqref="H31">
    <cfRule type="expression" dxfId="2260" priority="2378" stopIfTrue="1">
      <formula>IF(OR(H31="Y",H31="y",H31="Partial",H31="partial"),TRUE,FALSE)=FALSE</formula>
    </cfRule>
    <cfRule type="expression" dxfId="2259" priority="2379" stopIfTrue="1">
      <formula>IF(OR(H31="Partial",H31="partial"),TRUE,FALSE)=TRUE</formula>
    </cfRule>
    <cfRule type="expression" dxfId="2258" priority="2380" stopIfTrue="1">
      <formula>IF(OR(H31="Y",H31="y"),TRUE,FALSE)=TRUE</formula>
    </cfRule>
  </conditionalFormatting>
  <conditionalFormatting sqref="H31">
    <cfRule type="cellIs" dxfId="2257" priority="2377" stopIfTrue="1" operator="equal">
      <formula>"N/A"</formula>
    </cfRule>
  </conditionalFormatting>
  <conditionalFormatting sqref="I31">
    <cfRule type="expression" dxfId="2256" priority="2374" stopIfTrue="1">
      <formula>IF(OR(I31="Y",I31="y",I31="Partial",I31="partial"),TRUE,FALSE)=FALSE</formula>
    </cfRule>
    <cfRule type="expression" dxfId="2255" priority="2375" stopIfTrue="1">
      <formula>IF(OR(I31="Partial",I31="partial"),TRUE,FALSE)=TRUE</formula>
    </cfRule>
    <cfRule type="expression" dxfId="2254" priority="2376" stopIfTrue="1">
      <formula>IF(OR(I31="Y",I31="y"),TRUE,FALSE)=TRUE</formula>
    </cfRule>
  </conditionalFormatting>
  <conditionalFormatting sqref="I31">
    <cfRule type="cellIs" dxfId="2253" priority="2373" stopIfTrue="1" operator="equal">
      <formula>"N/A"</formula>
    </cfRule>
  </conditionalFormatting>
  <conditionalFormatting sqref="J31">
    <cfRule type="expression" dxfId="2252" priority="2370" stopIfTrue="1">
      <formula>IF(OR(J31="Y",J31="y",J31="Partial",J31="partial"),TRUE,FALSE)=FALSE</formula>
    </cfRule>
    <cfRule type="expression" dxfId="2251" priority="2371" stopIfTrue="1">
      <formula>IF(OR(J31="Partial",J31="partial"),TRUE,FALSE)=TRUE</formula>
    </cfRule>
    <cfRule type="expression" dxfId="2250" priority="2372" stopIfTrue="1">
      <formula>IF(OR(J31="Y",J31="y"),TRUE,FALSE)=TRUE</formula>
    </cfRule>
  </conditionalFormatting>
  <conditionalFormatting sqref="J31">
    <cfRule type="cellIs" dxfId="2249" priority="2369" stopIfTrue="1" operator="equal">
      <formula>"N/A"</formula>
    </cfRule>
  </conditionalFormatting>
  <conditionalFormatting sqref="K31">
    <cfRule type="expression" dxfId="2248" priority="2366" stopIfTrue="1">
      <formula>IF(OR(K31="Y",K31="y",K31="Partial",K31="partial"),TRUE,FALSE)=FALSE</formula>
    </cfRule>
    <cfRule type="expression" dxfId="2247" priority="2367" stopIfTrue="1">
      <formula>IF(OR(K31="Partial",K31="partial"),TRUE,FALSE)=TRUE</formula>
    </cfRule>
    <cfRule type="expression" dxfId="2246" priority="2368" stopIfTrue="1">
      <formula>IF(OR(K31="Y",K31="y"),TRUE,FALSE)=TRUE</formula>
    </cfRule>
  </conditionalFormatting>
  <conditionalFormatting sqref="K31">
    <cfRule type="cellIs" dxfId="2245" priority="2365" stopIfTrue="1" operator="equal">
      <formula>"N/A"</formula>
    </cfRule>
  </conditionalFormatting>
  <conditionalFormatting sqref="L31">
    <cfRule type="expression" dxfId="2244" priority="2362" stopIfTrue="1">
      <formula>IF(OR(L31="Y",L31="y",L31="Partial",L31="partial"),TRUE,FALSE)=FALSE</formula>
    </cfRule>
    <cfRule type="expression" dxfId="2243" priority="2363" stopIfTrue="1">
      <formula>IF(OR(L31="Partial",L31="partial"),TRUE,FALSE)=TRUE</formula>
    </cfRule>
    <cfRule type="expression" dxfId="2242" priority="2364" stopIfTrue="1">
      <formula>IF(OR(L31="Y",L31="y"),TRUE,FALSE)=TRUE</formula>
    </cfRule>
  </conditionalFormatting>
  <conditionalFormatting sqref="L31">
    <cfRule type="cellIs" dxfId="2241" priority="2361" stopIfTrue="1" operator="equal">
      <formula>"N/A"</formula>
    </cfRule>
  </conditionalFormatting>
  <conditionalFormatting sqref="M31">
    <cfRule type="expression" dxfId="2240" priority="2358" stopIfTrue="1">
      <formula>IF(OR(M31="Y",M31="y",M31="Partial",M31="partial"),TRUE,FALSE)=FALSE</formula>
    </cfRule>
    <cfRule type="expression" dxfId="2239" priority="2359" stopIfTrue="1">
      <formula>IF(OR(M31="Partial",M31="partial"),TRUE,FALSE)=TRUE</formula>
    </cfRule>
    <cfRule type="expression" dxfId="2238" priority="2360" stopIfTrue="1">
      <formula>IF(OR(M31="Y",M31="y"),TRUE,FALSE)=TRUE</formula>
    </cfRule>
  </conditionalFormatting>
  <conditionalFormatting sqref="M31">
    <cfRule type="cellIs" dxfId="2237" priority="2357" stopIfTrue="1" operator="equal">
      <formula>"N/A"</formula>
    </cfRule>
  </conditionalFormatting>
  <conditionalFormatting sqref="N31">
    <cfRule type="expression" dxfId="2236" priority="2354" stopIfTrue="1">
      <formula>IF(OR(N31="Y",N31="y",N31="Partial",N31="partial"),TRUE,FALSE)=FALSE</formula>
    </cfRule>
    <cfRule type="expression" dxfId="2235" priority="2355" stopIfTrue="1">
      <formula>IF(OR(N31="Partial",N31="partial"),TRUE,FALSE)=TRUE</formula>
    </cfRule>
    <cfRule type="expression" dxfId="2234" priority="2356" stopIfTrue="1">
      <formula>IF(OR(N31="Y",N31="y"),TRUE,FALSE)=TRUE</formula>
    </cfRule>
  </conditionalFormatting>
  <conditionalFormatting sqref="N31">
    <cfRule type="cellIs" dxfId="2233" priority="2353" stopIfTrue="1" operator="equal">
      <formula>"N/A"</formula>
    </cfRule>
  </conditionalFormatting>
  <conditionalFormatting sqref="O31">
    <cfRule type="expression" dxfId="2232" priority="2350" stopIfTrue="1">
      <formula>IF(OR(O31="Y",O31="y",O31="Partial",O31="partial"),TRUE,FALSE)=FALSE</formula>
    </cfRule>
    <cfRule type="expression" dxfId="2231" priority="2351" stopIfTrue="1">
      <formula>IF(OR(O31="Partial",O31="partial"),TRUE,FALSE)=TRUE</formula>
    </cfRule>
    <cfRule type="expression" dxfId="2230" priority="2352" stopIfTrue="1">
      <formula>IF(OR(O31="Y",O31="y"),TRUE,FALSE)=TRUE</formula>
    </cfRule>
  </conditionalFormatting>
  <conditionalFormatting sqref="O31">
    <cfRule type="cellIs" dxfId="2229" priority="2349" stopIfTrue="1" operator="equal">
      <formula>"N/A"</formula>
    </cfRule>
  </conditionalFormatting>
  <conditionalFormatting sqref="P31">
    <cfRule type="expression" dxfId="2228" priority="2346" stopIfTrue="1">
      <formula>IF(OR(P31="Y",P31="y",P31="Partial",P31="partial"),TRUE,FALSE)=FALSE</formula>
    </cfRule>
    <cfRule type="expression" dxfId="2227" priority="2347" stopIfTrue="1">
      <formula>IF(OR(P31="Partial",P31="partial"),TRUE,FALSE)=TRUE</formula>
    </cfRule>
    <cfRule type="expression" dxfId="2226" priority="2348" stopIfTrue="1">
      <formula>IF(OR(P31="Y",P31="y"),TRUE,FALSE)=TRUE</formula>
    </cfRule>
  </conditionalFormatting>
  <conditionalFormatting sqref="P31">
    <cfRule type="cellIs" dxfId="2225" priority="2345" stopIfTrue="1" operator="equal">
      <formula>"N/A"</formula>
    </cfRule>
  </conditionalFormatting>
  <conditionalFormatting sqref="R31">
    <cfRule type="expression" dxfId="2224" priority="2338" stopIfTrue="1">
      <formula>IF(OR(R31="Y",R31="y",R31="Partial",R31="partial"),TRUE,FALSE)=FALSE</formula>
    </cfRule>
    <cfRule type="expression" dxfId="2223" priority="2339" stopIfTrue="1">
      <formula>IF(OR(R31="Partial",R31="partial"),TRUE,FALSE)=TRUE</formula>
    </cfRule>
    <cfRule type="expression" dxfId="2222" priority="2340" stopIfTrue="1">
      <formula>IF(OR(R31="Y",R31="y"),TRUE,FALSE)=TRUE</formula>
    </cfRule>
  </conditionalFormatting>
  <conditionalFormatting sqref="R31">
    <cfRule type="cellIs" dxfId="2221" priority="2337" stopIfTrue="1" operator="equal">
      <formula>"N/A"</formula>
    </cfRule>
  </conditionalFormatting>
  <conditionalFormatting sqref="S31">
    <cfRule type="expression" dxfId="2220" priority="2334" stopIfTrue="1">
      <formula>IF(OR(S31="Y",S31="y",S31="Partial",S31="partial"),TRUE,FALSE)=FALSE</formula>
    </cfRule>
    <cfRule type="expression" dxfId="2219" priority="2335" stopIfTrue="1">
      <formula>IF(OR(S31="Partial",S31="partial"),TRUE,FALSE)=TRUE</formula>
    </cfRule>
    <cfRule type="expression" dxfId="2218" priority="2336" stopIfTrue="1">
      <formula>IF(OR(S31="Y",S31="y"),TRUE,FALSE)=TRUE</formula>
    </cfRule>
  </conditionalFormatting>
  <conditionalFormatting sqref="S31">
    <cfRule type="cellIs" dxfId="2217" priority="2333" stopIfTrue="1" operator="equal">
      <formula>"N/A"</formula>
    </cfRule>
  </conditionalFormatting>
  <conditionalFormatting sqref="T31">
    <cfRule type="expression" dxfId="2216" priority="2330" stopIfTrue="1">
      <formula>IF(OR(T31="Y",T31="y",T31="Partial",T31="partial"),TRUE,FALSE)=FALSE</formula>
    </cfRule>
    <cfRule type="expression" dxfId="2215" priority="2331" stopIfTrue="1">
      <formula>IF(OR(T31="Partial",T31="partial"),TRUE,FALSE)=TRUE</formula>
    </cfRule>
    <cfRule type="expression" dxfId="2214" priority="2332" stopIfTrue="1">
      <formula>IF(OR(T31="Y",T31="y"),TRUE,FALSE)=TRUE</formula>
    </cfRule>
  </conditionalFormatting>
  <conditionalFormatting sqref="T31">
    <cfRule type="cellIs" dxfId="2213" priority="2329" stopIfTrue="1" operator="equal">
      <formula>"N/A"</formula>
    </cfRule>
  </conditionalFormatting>
  <conditionalFormatting sqref="U31">
    <cfRule type="expression" dxfId="2212" priority="2326" stopIfTrue="1">
      <formula>IF(OR(U31="Y",U31="y",U31="Partial",U31="partial"),TRUE,FALSE)=FALSE</formula>
    </cfRule>
    <cfRule type="expression" dxfId="2211" priority="2327" stopIfTrue="1">
      <formula>IF(OR(U31="Partial",U31="partial"),TRUE,FALSE)=TRUE</formula>
    </cfRule>
    <cfRule type="expression" dxfId="2210" priority="2328" stopIfTrue="1">
      <formula>IF(OR(U31="Y",U31="y"),TRUE,FALSE)=TRUE</formula>
    </cfRule>
  </conditionalFormatting>
  <conditionalFormatting sqref="U31">
    <cfRule type="cellIs" dxfId="2209" priority="2325" stopIfTrue="1" operator="equal">
      <formula>"N/A"</formula>
    </cfRule>
  </conditionalFormatting>
  <conditionalFormatting sqref="V31">
    <cfRule type="expression" dxfId="2208" priority="2322" stopIfTrue="1">
      <formula>IF(OR(V31="Y",V31="y",V31="Partial",V31="partial"),TRUE,FALSE)=FALSE</formula>
    </cfRule>
    <cfRule type="expression" dxfId="2207" priority="2323" stopIfTrue="1">
      <formula>IF(OR(V31="Partial",V31="partial"),TRUE,FALSE)=TRUE</formula>
    </cfRule>
    <cfRule type="expression" dxfId="2206" priority="2324" stopIfTrue="1">
      <formula>IF(OR(V31="Y",V31="y"),TRUE,FALSE)=TRUE</formula>
    </cfRule>
  </conditionalFormatting>
  <conditionalFormatting sqref="V31">
    <cfRule type="cellIs" dxfId="2205" priority="2321" stopIfTrue="1" operator="equal">
      <formula>"N/A"</formula>
    </cfRule>
  </conditionalFormatting>
  <conditionalFormatting sqref="W31">
    <cfRule type="expression" dxfId="2204" priority="2318" stopIfTrue="1">
      <formula>IF(OR(W31="Y",W31="y",W31="Partial",W31="partial"),TRUE,FALSE)=FALSE</formula>
    </cfRule>
    <cfRule type="expression" dxfId="2203" priority="2319" stopIfTrue="1">
      <formula>IF(OR(W31="Partial",W31="partial"),TRUE,FALSE)=TRUE</formula>
    </cfRule>
    <cfRule type="expression" dxfId="2202" priority="2320" stopIfTrue="1">
      <formula>IF(OR(W31="Y",W31="y"),TRUE,FALSE)=TRUE</formula>
    </cfRule>
  </conditionalFormatting>
  <conditionalFormatting sqref="W31">
    <cfRule type="cellIs" dxfId="2201" priority="2317" stopIfTrue="1" operator="equal">
      <formula>"N/A"</formula>
    </cfRule>
  </conditionalFormatting>
  <conditionalFormatting sqref="X31">
    <cfRule type="expression" dxfId="2200" priority="2314" stopIfTrue="1">
      <formula>IF(OR(X31="Y",X31="y",X31="Partial",X31="partial"),TRUE,FALSE)=FALSE</formula>
    </cfRule>
    <cfRule type="expression" dxfId="2199" priority="2315" stopIfTrue="1">
      <formula>IF(OR(X31="Partial",X31="partial"),TRUE,FALSE)=TRUE</formula>
    </cfRule>
    <cfRule type="expression" dxfId="2198" priority="2316" stopIfTrue="1">
      <formula>IF(OR(X31="Y",X31="y"),TRUE,FALSE)=TRUE</formula>
    </cfRule>
  </conditionalFormatting>
  <conditionalFormatting sqref="X31">
    <cfRule type="cellIs" dxfId="2197" priority="2313" stopIfTrue="1" operator="equal">
      <formula>"N/A"</formula>
    </cfRule>
  </conditionalFormatting>
  <conditionalFormatting sqref="H32">
    <cfRule type="expression" dxfId="2196" priority="2310" stopIfTrue="1">
      <formula>IF(OR(H32="Y",H32="y",H32="Partial",H32="partial"),TRUE,FALSE)=FALSE</formula>
    </cfRule>
    <cfRule type="expression" dxfId="2195" priority="2311" stopIfTrue="1">
      <formula>IF(OR(H32="Partial",H32="partial"),TRUE,FALSE)=TRUE</formula>
    </cfRule>
    <cfRule type="expression" dxfId="2194" priority="2312" stopIfTrue="1">
      <formula>IF(OR(H32="Y",H32="y"),TRUE,FALSE)=TRUE</formula>
    </cfRule>
  </conditionalFormatting>
  <conditionalFormatting sqref="H32">
    <cfRule type="cellIs" dxfId="2193" priority="2309" stopIfTrue="1" operator="equal">
      <formula>"N/A"</formula>
    </cfRule>
  </conditionalFormatting>
  <conditionalFormatting sqref="I32">
    <cfRule type="expression" dxfId="2192" priority="2306" stopIfTrue="1">
      <formula>IF(OR(I32="Y",I32="y",I32="Partial",I32="partial"),TRUE,FALSE)=FALSE</formula>
    </cfRule>
    <cfRule type="expression" dxfId="2191" priority="2307" stopIfTrue="1">
      <formula>IF(OR(I32="Partial",I32="partial"),TRUE,FALSE)=TRUE</formula>
    </cfRule>
    <cfRule type="expression" dxfId="2190" priority="2308" stopIfTrue="1">
      <formula>IF(OR(I32="Y",I32="y"),TRUE,FALSE)=TRUE</formula>
    </cfRule>
  </conditionalFormatting>
  <conditionalFormatting sqref="I32">
    <cfRule type="cellIs" dxfId="2189" priority="2305" stopIfTrue="1" operator="equal">
      <formula>"N/A"</formula>
    </cfRule>
  </conditionalFormatting>
  <conditionalFormatting sqref="J32">
    <cfRule type="expression" dxfId="2188" priority="2302" stopIfTrue="1">
      <formula>IF(OR(J32="Y",J32="y",J32="Partial",J32="partial"),TRUE,FALSE)=FALSE</formula>
    </cfRule>
    <cfRule type="expression" dxfId="2187" priority="2303" stopIfTrue="1">
      <formula>IF(OR(J32="Partial",J32="partial"),TRUE,FALSE)=TRUE</formula>
    </cfRule>
    <cfRule type="expression" dxfId="2186" priority="2304" stopIfTrue="1">
      <formula>IF(OR(J32="Y",J32="y"),TRUE,FALSE)=TRUE</formula>
    </cfRule>
  </conditionalFormatting>
  <conditionalFormatting sqref="J32">
    <cfRule type="cellIs" dxfId="2185" priority="2301" stopIfTrue="1" operator="equal">
      <formula>"N/A"</formula>
    </cfRule>
  </conditionalFormatting>
  <conditionalFormatting sqref="K32">
    <cfRule type="expression" dxfId="2184" priority="2298" stopIfTrue="1">
      <formula>IF(OR(K32="Y",K32="y",K32="Partial",K32="partial"),TRUE,FALSE)=FALSE</formula>
    </cfRule>
    <cfRule type="expression" dxfId="2183" priority="2299" stopIfTrue="1">
      <formula>IF(OR(K32="Partial",K32="partial"),TRUE,FALSE)=TRUE</formula>
    </cfRule>
    <cfRule type="expression" dxfId="2182" priority="2300" stopIfTrue="1">
      <formula>IF(OR(K32="Y",K32="y"),TRUE,FALSE)=TRUE</formula>
    </cfRule>
  </conditionalFormatting>
  <conditionalFormatting sqref="K32">
    <cfRule type="cellIs" dxfId="2181" priority="2297" stopIfTrue="1" operator="equal">
      <formula>"N/A"</formula>
    </cfRule>
  </conditionalFormatting>
  <conditionalFormatting sqref="L32">
    <cfRule type="expression" dxfId="2180" priority="2294" stopIfTrue="1">
      <formula>IF(OR(L32="Y",L32="y",L32="Partial",L32="partial"),TRUE,FALSE)=FALSE</formula>
    </cfRule>
    <cfRule type="expression" dxfId="2179" priority="2295" stopIfTrue="1">
      <formula>IF(OR(L32="Partial",L32="partial"),TRUE,FALSE)=TRUE</formula>
    </cfRule>
    <cfRule type="expression" dxfId="2178" priority="2296" stopIfTrue="1">
      <formula>IF(OR(L32="Y",L32="y"),TRUE,FALSE)=TRUE</formula>
    </cfRule>
  </conditionalFormatting>
  <conditionalFormatting sqref="L32">
    <cfRule type="cellIs" dxfId="2177" priority="2293" stopIfTrue="1" operator="equal">
      <formula>"N/A"</formula>
    </cfRule>
  </conditionalFormatting>
  <conditionalFormatting sqref="M32">
    <cfRule type="expression" dxfId="2176" priority="2290" stopIfTrue="1">
      <formula>IF(OR(M32="Y",M32="y",M32="Partial",M32="partial"),TRUE,FALSE)=FALSE</formula>
    </cfRule>
    <cfRule type="expression" dxfId="2175" priority="2291" stopIfTrue="1">
      <formula>IF(OR(M32="Partial",M32="partial"),TRUE,FALSE)=TRUE</formula>
    </cfRule>
    <cfRule type="expression" dxfId="2174" priority="2292" stopIfTrue="1">
      <formula>IF(OR(M32="Y",M32="y"),TRUE,FALSE)=TRUE</formula>
    </cfRule>
  </conditionalFormatting>
  <conditionalFormatting sqref="M32">
    <cfRule type="cellIs" dxfId="2173" priority="2289" stopIfTrue="1" operator="equal">
      <formula>"N/A"</formula>
    </cfRule>
  </conditionalFormatting>
  <conditionalFormatting sqref="N32">
    <cfRule type="expression" dxfId="2172" priority="2286" stopIfTrue="1">
      <formula>IF(OR(N32="Y",N32="y",N32="Partial",N32="partial"),TRUE,FALSE)=FALSE</formula>
    </cfRule>
    <cfRule type="expression" dxfId="2171" priority="2287" stopIfTrue="1">
      <formula>IF(OR(N32="Partial",N32="partial"),TRUE,FALSE)=TRUE</formula>
    </cfRule>
    <cfRule type="expression" dxfId="2170" priority="2288" stopIfTrue="1">
      <formula>IF(OR(N32="Y",N32="y"),TRUE,FALSE)=TRUE</formula>
    </cfRule>
  </conditionalFormatting>
  <conditionalFormatting sqref="N32">
    <cfRule type="cellIs" dxfId="2169" priority="2285" stopIfTrue="1" operator="equal">
      <formula>"N/A"</formula>
    </cfRule>
  </conditionalFormatting>
  <conditionalFormatting sqref="O32">
    <cfRule type="expression" dxfId="2168" priority="2282" stopIfTrue="1">
      <formula>IF(OR(O32="Y",O32="y",O32="Partial",O32="partial"),TRUE,FALSE)=FALSE</formula>
    </cfRule>
    <cfRule type="expression" dxfId="2167" priority="2283" stopIfTrue="1">
      <formula>IF(OR(O32="Partial",O32="partial"),TRUE,FALSE)=TRUE</formula>
    </cfRule>
    <cfRule type="expression" dxfId="2166" priority="2284" stopIfTrue="1">
      <formula>IF(OR(O32="Y",O32="y"),TRUE,FALSE)=TRUE</formula>
    </cfRule>
  </conditionalFormatting>
  <conditionalFormatting sqref="O32">
    <cfRule type="cellIs" dxfId="2165" priority="2281" stopIfTrue="1" operator="equal">
      <formula>"N/A"</formula>
    </cfRule>
  </conditionalFormatting>
  <conditionalFormatting sqref="P32">
    <cfRule type="expression" dxfId="2164" priority="2278" stopIfTrue="1">
      <formula>IF(OR(P32="Y",P32="y",P32="Partial",P32="partial"),TRUE,FALSE)=FALSE</formula>
    </cfRule>
    <cfRule type="expression" dxfId="2163" priority="2279" stopIfTrue="1">
      <formula>IF(OR(P32="Partial",P32="partial"),TRUE,FALSE)=TRUE</formula>
    </cfRule>
    <cfRule type="expression" dxfId="2162" priority="2280" stopIfTrue="1">
      <formula>IF(OR(P32="Y",P32="y"),TRUE,FALSE)=TRUE</formula>
    </cfRule>
  </conditionalFormatting>
  <conditionalFormatting sqref="P32">
    <cfRule type="cellIs" dxfId="2161" priority="2277" stopIfTrue="1" operator="equal">
      <formula>"N/A"</formula>
    </cfRule>
  </conditionalFormatting>
  <conditionalFormatting sqref="R32">
    <cfRule type="expression" dxfId="2160" priority="2270" stopIfTrue="1">
      <formula>IF(OR(R32="Y",R32="y",R32="Partial",R32="partial"),TRUE,FALSE)=FALSE</formula>
    </cfRule>
    <cfRule type="expression" dxfId="2159" priority="2271" stopIfTrue="1">
      <formula>IF(OR(R32="Partial",R32="partial"),TRUE,FALSE)=TRUE</formula>
    </cfRule>
    <cfRule type="expression" dxfId="2158" priority="2272" stopIfTrue="1">
      <formula>IF(OR(R32="Y",R32="y"),TRUE,FALSE)=TRUE</formula>
    </cfRule>
  </conditionalFormatting>
  <conditionalFormatting sqref="R32">
    <cfRule type="cellIs" dxfId="2157" priority="2269" stopIfTrue="1" operator="equal">
      <formula>"N/A"</formula>
    </cfRule>
  </conditionalFormatting>
  <conditionalFormatting sqref="S32">
    <cfRule type="expression" dxfId="2156" priority="2266" stopIfTrue="1">
      <formula>IF(OR(S32="Y",S32="y",S32="Partial",S32="partial"),TRUE,FALSE)=FALSE</formula>
    </cfRule>
    <cfRule type="expression" dxfId="2155" priority="2267" stopIfTrue="1">
      <formula>IF(OR(S32="Partial",S32="partial"),TRUE,FALSE)=TRUE</formula>
    </cfRule>
    <cfRule type="expression" dxfId="2154" priority="2268" stopIfTrue="1">
      <formula>IF(OR(S32="Y",S32="y"),TRUE,FALSE)=TRUE</formula>
    </cfRule>
  </conditionalFormatting>
  <conditionalFormatting sqref="S32">
    <cfRule type="cellIs" dxfId="2153" priority="2265" stopIfTrue="1" operator="equal">
      <formula>"N/A"</formula>
    </cfRule>
  </conditionalFormatting>
  <conditionalFormatting sqref="T32">
    <cfRule type="expression" dxfId="2152" priority="2262" stopIfTrue="1">
      <formula>IF(OR(T32="Y",T32="y",T32="Partial",T32="partial"),TRUE,FALSE)=FALSE</formula>
    </cfRule>
    <cfRule type="expression" dxfId="2151" priority="2263" stopIfTrue="1">
      <formula>IF(OR(T32="Partial",T32="partial"),TRUE,FALSE)=TRUE</formula>
    </cfRule>
    <cfRule type="expression" dxfId="2150" priority="2264" stopIfTrue="1">
      <formula>IF(OR(T32="Y",T32="y"),TRUE,FALSE)=TRUE</formula>
    </cfRule>
  </conditionalFormatting>
  <conditionalFormatting sqref="T32">
    <cfRule type="cellIs" dxfId="2149" priority="2261" stopIfTrue="1" operator="equal">
      <formula>"N/A"</formula>
    </cfRule>
  </conditionalFormatting>
  <conditionalFormatting sqref="U32">
    <cfRule type="expression" dxfId="2148" priority="2258" stopIfTrue="1">
      <formula>IF(OR(U32="Y",U32="y",U32="Partial",U32="partial"),TRUE,FALSE)=FALSE</formula>
    </cfRule>
    <cfRule type="expression" dxfId="2147" priority="2259" stopIfTrue="1">
      <formula>IF(OR(U32="Partial",U32="partial"),TRUE,FALSE)=TRUE</formula>
    </cfRule>
    <cfRule type="expression" dxfId="2146" priority="2260" stopIfTrue="1">
      <formula>IF(OR(U32="Y",U32="y"),TRUE,FALSE)=TRUE</formula>
    </cfRule>
  </conditionalFormatting>
  <conditionalFormatting sqref="U32">
    <cfRule type="cellIs" dxfId="2145" priority="2257" stopIfTrue="1" operator="equal">
      <formula>"N/A"</formula>
    </cfRule>
  </conditionalFormatting>
  <conditionalFormatting sqref="V32">
    <cfRule type="expression" dxfId="2144" priority="2254" stopIfTrue="1">
      <formula>IF(OR(V32="Y",V32="y",V32="Partial",V32="partial"),TRUE,FALSE)=FALSE</formula>
    </cfRule>
    <cfRule type="expression" dxfId="2143" priority="2255" stopIfTrue="1">
      <formula>IF(OR(V32="Partial",V32="partial"),TRUE,FALSE)=TRUE</formula>
    </cfRule>
    <cfRule type="expression" dxfId="2142" priority="2256" stopIfTrue="1">
      <formula>IF(OR(V32="Y",V32="y"),TRUE,FALSE)=TRUE</formula>
    </cfRule>
  </conditionalFormatting>
  <conditionalFormatting sqref="V32">
    <cfRule type="cellIs" dxfId="2141" priority="2253" stopIfTrue="1" operator="equal">
      <formula>"N/A"</formula>
    </cfRule>
  </conditionalFormatting>
  <conditionalFormatting sqref="W32">
    <cfRule type="expression" dxfId="2140" priority="2250" stopIfTrue="1">
      <formula>IF(OR(W32="Y",W32="y",W32="Partial",W32="partial"),TRUE,FALSE)=FALSE</formula>
    </cfRule>
    <cfRule type="expression" dxfId="2139" priority="2251" stopIfTrue="1">
      <formula>IF(OR(W32="Partial",W32="partial"),TRUE,FALSE)=TRUE</formula>
    </cfRule>
    <cfRule type="expression" dxfId="2138" priority="2252" stopIfTrue="1">
      <formula>IF(OR(W32="Y",W32="y"),TRUE,FALSE)=TRUE</formula>
    </cfRule>
  </conditionalFormatting>
  <conditionalFormatting sqref="W32">
    <cfRule type="cellIs" dxfId="2137" priority="2249" stopIfTrue="1" operator="equal">
      <formula>"N/A"</formula>
    </cfRule>
  </conditionalFormatting>
  <conditionalFormatting sqref="X32">
    <cfRule type="expression" dxfId="2136" priority="2246" stopIfTrue="1">
      <formula>IF(OR(X32="Y",X32="y",X32="Partial",X32="partial"),TRUE,FALSE)=FALSE</formula>
    </cfRule>
    <cfRule type="expression" dxfId="2135" priority="2247" stopIfTrue="1">
      <formula>IF(OR(X32="Partial",X32="partial"),TRUE,FALSE)=TRUE</formula>
    </cfRule>
    <cfRule type="expression" dxfId="2134" priority="2248" stopIfTrue="1">
      <formula>IF(OR(X32="Y",X32="y"),TRUE,FALSE)=TRUE</formula>
    </cfRule>
  </conditionalFormatting>
  <conditionalFormatting sqref="X32">
    <cfRule type="cellIs" dxfId="2133" priority="2245" stopIfTrue="1" operator="equal">
      <formula>"N/A"</formula>
    </cfRule>
  </conditionalFormatting>
  <conditionalFormatting sqref="H33">
    <cfRule type="expression" dxfId="2132" priority="2242" stopIfTrue="1">
      <formula>IF(OR(H33="Y",H33="y",H33="Partial",H33="partial"),TRUE,FALSE)=FALSE</formula>
    </cfRule>
    <cfRule type="expression" dxfId="2131" priority="2243" stopIfTrue="1">
      <formula>IF(OR(H33="Partial",H33="partial"),TRUE,FALSE)=TRUE</formula>
    </cfRule>
    <cfRule type="expression" dxfId="2130" priority="2244" stopIfTrue="1">
      <formula>IF(OR(H33="Y",H33="y"),TRUE,FALSE)=TRUE</formula>
    </cfRule>
  </conditionalFormatting>
  <conditionalFormatting sqref="H33">
    <cfRule type="cellIs" dxfId="2129" priority="2241" stopIfTrue="1" operator="equal">
      <formula>"N/A"</formula>
    </cfRule>
  </conditionalFormatting>
  <conditionalFormatting sqref="I33">
    <cfRule type="expression" dxfId="2128" priority="2238" stopIfTrue="1">
      <formula>IF(OR(I33="Y",I33="y",I33="Partial",I33="partial"),TRUE,FALSE)=FALSE</formula>
    </cfRule>
    <cfRule type="expression" dxfId="2127" priority="2239" stopIfTrue="1">
      <formula>IF(OR(I33="Partial",I33="partial"),TRUE,FALSE)=TRUE</formula>
    </cfRule>
    <cfRule type="expression" dxfId="2126" priority="2240" stopIfTrue="1">
      <formula>IF(OR(I33="Y",I33="y"),TRUE,FALSE)=TRUE</formula>
    </cfRule>
  </conditionalFormatting>
  <conditionalFormatting sqref="I33">
    <cfRule type="cellIs" dxfId="2125" priority="2237" stopIfTrue="1" operator="equal">
      <formula>"N/A"</formula>
    </cfRule>
  </conditionalFormatting>
  <conditionalFormatting sqref="J33">
    <cfRule type="expression" dxfId="2124" priority="2234" stopIfTrue="1">
      <formula>IF(OR(J33="Y",J33="y",J33="Partial",J33="partial"),TRUE,FALSE)=FALSE</formula>
    </cfRule>
    <cfRule type="expression" dxfId="2123" priority="2235" stopIfTrue="1">
      <formula>IF(OR(J33="Partial",J33="partial"),TRUE,FALSE)=TRUE</formula>
    </cfRule>
    <cfRule type="expression" dxfId="2122" priority="2236" stopIfTrue="1">
      <formula>IF(OR(J33="Y",J33="y"),TRUE,FALSE)=TRUE</formula>
    </cfRule>
  </conditionalFormatting>
  <conditionalFormatting sqref="J33">
    <cfRule type="cellIs" dxfId="2121" priority="2233" stopIfTrue="1" operator="equal">
      <formula>"N/A"</formula>
    </cfRule>
  </conditionalFormatting>
  <conditionalFormatting sqref="K33">
    <cfRule type="expression" dxfId="2120" priority="2230" stopIfTrue="1">
      <formula>IF(OR(K33="Y",K33="y",K33="Partial",K33="partial"),TRUE,FALSE)=FALSE</formula>
    </cfRule>
    <cfRule type="expression" dxfId="2119" priority="2231" stopIfTrue="1">
      <formula>IF(OR(K33="Partial",K33="partial"),TRUE,FALSE)=TRUE</formula>
    </cfRule>
    <cfRule type="expression" dxfId="2118" priority="2232" stopIfTrue="1">
      <formula>IF(OR(K33="Y",K33="y"),TRUE,FALSE)=TRUE</formula>
    </cfRule>
  </conditionalFormatting>
  <conditionalFormatting sqref="K33">
    <cfRule type="cellIs" dxfId="2117" priority="2229" stopIfTrue="1" operator="equal">
      <formula>"N/A"</formula>
    </cfRule>
  </conditionalFormatting>
  <conditionalFormatting sqref="L33">
    <cfRule type="expression" dxfId="2116" priority="2226" stopIfTrue="1">
      <formula>IF(OR(L33="Y",L33="y",L33="Partial",L33="partial"),TRUE,FALSE)=FALSE</formula>
    </cfRule>
    <cfRule type="expression" dxfId="2115" priority="2227" stopIfTrue="1">
      <formula>IF(OR(L33="Partial",L33="partial"),TRUE,FALSE)=TRUE</formula>
    </cfRule>
    <cfRule type="expression" dxfId="2114" priority="2228" stopIfTrue="1">
      <formula>IF(OR(L33="Y",L33="y"),TRUE,FALSE)=TRUE</formula>
    </cfRule>
  </conditionalFormatting>
  <conditionalFormatting sqref="L33">
    <cfRule type="cellIs" dxfId="2113" priority="2225" stopIfTrue="1" operator="equal">
      <formula>"N/A"</formula>
    </cfRule>
  </conditionalFormatting>
  <conditionalFormatting sqref="M33">
    <cfRule type="expression" dxfId="2112" priority="2222" stopIfTrue="1">
      <formula>IF(OR(M33="Y",M33="y",M33="Partial",M33="partial"),TRUE,FALSE)=FALSE</formula>
    </cfRule>
    <cfRule type="expression" dxfId="2111" priority="2223" stopIfTrue="1">
      <formula>IF(OR(M33="Partial",M33="partial"),TRUE,FALSE)=TRUE</formula>
    </cfRule>
    <cfRule type="expression" dxfId="2110" priority="2224" stopIfTrue="1">
      <formula>IF(OR(M33="Y",M33="y"),TRUE,FALSE)=TRUE</formula>
    </cfRule>
  </conditionalFormatting>
  <conditionalFormatting sqref="M33">
    <cfRule type="cellIs" dxfId="2109" priority="2221" stopIfTrue="1" operator="equal">
      <formula>"N/A"</formula>
    </cfRule>
  </conditionalFormatting>
  <conditionalFormatting sqref="N33">
    <cfRule type="expression" dxfId="2108" priority="2218" stopIfTrue="1">
      <formula>IF(OR(N33="Y",N33="y",N33="Partial",N33="partial"),TRUE,FALSE)=FALSE</formula>
    </cfRule>
    <cfRule type="expression" dxfId="2107" priority="2219" stopIfTrue="1">
      <formula>IF(OR(N33="Partial",N33="partial"),TRUE,FALSE)=TRUE</formula>
    </cfRule>
    <cfRule type="expression" dxfId="2106" priority="2220" stopIfTrue="1">
      <formula>IF(OR(N33="Y",N33="y"),TRUE,FALSE)=TRUE</formula>
    </cfRule>
  </conditionalFormatting>
  <conditionalFormatting sqref="N33">
    <cfRule type="cellIs" dxfId="2105" priority="2217" stopIfTrue="1" operator="equal">
      <formula>"N/A"</formula>
    </cfRule>
  </conditionalFormatting>
  <conditionalFormatting sqref="O33">
    <cfRule type="expression" dxfId="2104" priority="2214" stopIfTrue="1">
      <formula>IF(OR(O33="Y",O33="y",O33="Partial",O33="partial"),TRUE,FALSE)=FALSE</formula>
    </cfRule>
    <cfRule type="expression" dxfId="2103" priority="2215" stopIfTrue="1">
      <formula>IF(OR(O33="Partial",O33="partial"),TRUE,FALSE)=TRUE</formula>
    </cfRule>
    <cfRule type="expression" dxfId="2102" priority="2216" stopIfTrue="1">
      <formula>IF(OR(O33="Y",O33="y"),TRUE,FALSE)=TRUE</formula>
    </cfRule>
  </conditionalFormatting>
  <conditionalFormatting sqref="O33">
    <cfRule type="cellIs" dxfId="2101" priority="2213" stopIfTrue="1" operator="equal">
      <formula>"N/A"</formula>
    </cfRule>
  </conditionalFormatting>
  <conditionalFormatting sqref="P33">
    <cfRule type="expression" dxfId="2100" priority="2210" stopIfTrue="1">
      <formula>IF(OR(P33="Y",P33="y",P33="Partial",P33="partial"),TRUE,FALSE)=FALSE</formula>
    </cfRule>
    <cfRule type="expression" dxfId="2099" priority="2211" stopIfTrue="1">
      <formula>IF(OR(P33="Partial",P33="partial"),TRUE,FALSE)=TRUE</formula>
    </cfRule>
    <cfRule type="expression" dxfId="2098" priority="2212" stopIfTrue="1">
      <formula>IF(OR(P33="Y",P33="y"),TRUE,FALSE)=TRUE</formula>
    </cfRule>
  </conditionalFormatting>
  <conditionalFormatting sqref="P33">
    <cfRule type="cellIs" dxfId="2097" priority="2209" stopIfTrue="1" operator="equal">
      <formula>"N/A"</formula>
    </cfRule>
  </conditionalFormatting>
  <conditionalFormatting sqref="R33">
    <cfRule type="expression" dxfId="2096" priority="2202" stopIfTrue="1">
      <formula>IF(OR(R33="Y",R33="y",R33="Partial",R33="partial"),TRUE,FALSE)=FALSE</formula>
    </cfRule>
    <cfRule type="expression" dxfId="2095" priority="2203" stopIfTrue="1">
      <formula>IF(OR(R33="Partial",R33="partial"),TRUE,FALSE)=TRUE</formula>
    </cfRule>
    <cfRule type="expression" dxfId="2094" priority="2204" stopIfTrue="1">
      <formula>IF(OR(R33="Y",R33="y"),TRUE,FALSE)=TRUE</formula>
    </cfRule>
  </conditionalFormatting>
  <conditionalFormatting sqref="R33">
    <cfRule type="cellIs" dxfId="2093" priority="2201" stopIfTrue="1" operator="equal">
      <formula>"N/A"</formula>
    </cfRule>
  </conditionalFormatting>
  <conditionalFormatting sqref="S33">
    <cfRule type="expression" dxfId="2092" priority="2198" stopIfTrue="1">
      <formula>IF(OR(S33="Y",S33="y",S33="Partial",S33="partial"),TRUE,FALSE)=FALSE</formula>
    </cfRule>
    <cfRule type="expression" dxfId="2091" priority="2199" stopIfTrue="1">
      <formula>IF(OR(S33="Partial",S33="partial"),TRUE,FALSE)=TRUE</formula>
    </cfRule>
    <cfRule type="expression" dxfId="2090" priority="2200" stopIfTrue="1">
      <formula>IF(OR(S33="Y",S33="y"),TRUE,FALSE)=TRUE</formula>
    </cfRule>
  </conditionalFormatting>
  <conditionalFormatting sqref="S33">
    <cfRule type="cellIs" dxfId="2089" priority="2197" stopIfTrue="1" operator="equal">
      <formula>"N/A"</formula>
    </cfRule>
  </conditionalFormatting>
  <conditionalFormatting sqref="T33">
    <cfRule type="expression" dxfId="2088" priority="2194" stopIfTrue="1">
      <formula>IF(OR(T33="Y",T33="y",T33="Partial",T33="partial"),TRUE,FALSE)=FALSE</formula>
    </cfRule>
    <cfRule type="expression" dxfId="2087" priority="2195" stopIfTrue="1">
      <formula>IF(OR(T33="Partial",T33="partial"),TRUE,FALSE)=TRUE</formula>
    </cfRule>
    <cfRule type="expression" dxfId="2086" priority="2196" stopIfTrue="1">
      <formula>IF(OR(T33="Y",T33="y"),TRUE,FALSE)=TRUE</formula>
    </cfRule>
  </conditionalFormatting>
  <conditionalFormatting sqref="T33">
    <cfRule type="cellIs" dxfId="2085" priority="2193" stopIfTrue="1" operator="equal">
      <formula>"N/A"</formula>
    </cfRule>
  </conditionalFormatting>
  <conditionalFormatting sqref="U33">
    <cfRule type="expression" dxfId="2084" priority="2190" stopIfTrue="1">
      <formula>IF(OR(U33="Y",U33="y",U33="Partial",U33="partial"),TRUE,FALSE)=FALSE</formula>
    </cfRule>
    <cfRule type="expression" dxfId="2083" priority="2191" stopIfTrue="1">
      <formula>IF(OR(U33="Partial",U33="partial"),TRUE,FALSE)=TRUE</formula>
    </cfRule>
    <cfRule type="expression" dxfId="2082" priority="2192" stopIfTrue="1">
      <formula>IF(OR(U33="Y",U33="y"),TRUE,FALSE)=TRUE</formula>
    </cfRule>
  </conditionalFormatting>
  <conditionalFormatting sqref="U33">
    <cfRule type="cellIs" dxfId="2081" priority="2189" stopIfTrue="1" operator="equal">
      <formula>"N/A"</formula>
    </cfRule>
  </conditionalFormatting>
  <conditionalFormatting sqref="V33">
    <cfRule type="expression" dxfId="2080" priority="2186" stopIfTrue="1">
      <formula>IF(OR(V33="Y",V33="y",V33="Partial",V33="partial"),TRUE,FALSE)=FALSE</formula>
    </cfRule>
    <cfRule type="expression" dxfId="2079" priority="2187" stopIfTrue="1">
      <formula>IF(OR(V33="Partial",V33="partial"),TRUE,FALSE)=TRUE</formula>
    </cfRule>
    <cfRule type="expression" dxfId="2078" priority="2188" stopIfTrue="1">
      <formula>IF(OR(V33="Y",V33="y"),TRUE,FALSE)=TRUE</formula>
    </cfRule>
  </conditionalFormatting>
  <conditionalFormatting sqref="V33">
    <cfRule type="cellIs" dxfId="2077" priority="2185" stopIfTrue="1" operator="equal">
      <formula>"N/A"</formula>
    </cfRule>
  </conditionalFormatting>
  <conditionalFormatting sqref="W33">
    <cfRule type="expression" dxfId="2076" priority="2182" stopIfTrue="1">
      <formula>IF(OR(W33="Y",W33="y",W33="Partial",W33="partial"),TRUE,FALSE)=FALSE</formula>
    </cfRule>
    <cfRule type="expression" dxfId="2075" priority="2183" stopIfTrue="1">
      <formula>IF(OR(W33="Partial",W33="partial"),TRUE,FALSE)=TRUE</formula>
    </cfRule>
    <cfRule type="expression" dxfId="2074" priority="2184" stopIfTrue="1">
      <formula>IF(OR(W33="Y",W33="y"),TRUE,FALSE)=TRUE</formula>
    </cfRule>
  </conditionalFormatting>
  <conditionalFormatting sqref="W33">
    <cfRule type="cellIs" dxfId="2073" priority="2181" stopIfTrue="1" operator="equal">
      <formula>"N/A"</formula>
    </cfRule>
  </conditionalFormatting>
  <conditionalFormatting sqref="X33">
    <cfRule type="expression" dxfId="2072" priority="2178" stopIfTrue="1">
      <formula>IF(OR(X33="Y",X33="y",X33="Partial",X33="partial"),TRUE,FALSE)=FALSE</formula>
    </cfRule>
    <cfRule type="expression" dxfId="2071" priority="2179" stopIfTrue="1">
      <formula>IF(OR(X33="Partial",X33="partial"),TRUE,FALSE)=TRUE</formula>
    </cfRule>
    <cfRule type="expression" dxfId="2070" priority="2180" stopIfTrue="1">
      <formula>IF(OR(X33="Y",X33="y"),TRUE,FALSE)=TRUE</formula>
    </cfRule>
  </conditionalFormatting>
  <conditionalFormatting sqref="X33">
    <cfRule type="cellIs" dxfId="2069" priority="2177" stopIfTrue="1" operator="equal">
      <formula>"N/A"</formula>
    </cfRule>
  </conditionalFormatting>
  <conditionalFormatting sqref="H34">
    <cfRule type="expression" dxfId="2068" priority="2174" stopIfTrue="1">
      <formula>IF(OR(H34="Y",H34="y",H34="Partial",H34="partial"),TRUE,FALSE)=FALSE</formula>
    </cfRule>
    <cfRule type="expression" dxfId="2067" priority="2175" stopIfTrue="1">
      <formula>IF(OR(H34="Partial",H34="partial"),TRUE,FALSE)=TRUE</formula>
    </cfRule>
    <cfRule type="expression" dxfId="2066" priority="2176" stopIfTrue="1">
      <formula>IF(OR(H34="Y",H34="y"),TRUE,FALSE)=TRUE</formula>
    </cfRule>
  </conditionalFormatting>
  <conditionalFormatting sqref="H34">
    <cfRule type="cellIs" dxfId="2065" priority="2173" stopIfTrue="1" operator="equal">
      <formula>"N/A"</formula>
    </cfRule>
  </conditionalFormatting>
  <conditionalFormatting sqref="I34">
    <cfRule type="expression" dxfId="2064" priority="2170" stopIfTrue="1">
      <formula>IF(OR(I34="Y",I34="y",I34="Partial",I34="partial"),TRUE,FALSE)=FALSE</formula>
    </cfRule>
    <cfRule type="expression" dxfId="2063" priority="2171" stopIfTrue="1">
      <formula>IF(OR(I34="Partial",I34="partial"),TRUE,FALSE)=TRUE</formula>
    </cfRule>
    <cfRule type="expression" dxfId="2062" priority="2172" stopIfTrue="1">
      <formula>IF(OR(I34="Y",I34="y"),TRUE,FALSE)=TRUE</formula>
    </cfRule>
  </conditionalFormatting>
  <conditionalFormatting sqref="I34">
    <cfRule type="cellIs" dxfId="2061" priority="2169" stopIfTrue="1" operator="equal">
      <formula>"N/A"</formula>
    </cfRule>
  </conditionalFormatting>
  <conditionalFormatting sqref="J34">
    <cfRule type="expression" dxfId="2060" priority="2166" stopIfTrue="1">
      <formula>IF(OR(J34="Y",J34="y",J34="Partial",J34="partial"),TRUE,FALSE)=FALSE</formula>
    </cfRule>
    <cfRule type="expression" dxfId="2059" priority="2167" stopIfTrue="1">
      <formula>IF(OR(J34="Partial",J34="partial"),TRUE,FALSE)=TRUE</formula>
    </cfRule>
    <cfRule type="expression" dxfId="2058" priority="2168" stopIfTrue="1">
      <formula>IF(OR(J34="Y",J34="y"),TRUE,FALSE)=TRUE</formula>
    </cfRule>
  </conditionalFormatting>
  <conditionalFormatting sqref="J34">
    <cfRule type="cellIs" dxfId="2057" priority="2165" stopIfTrue="1" operator="equal">
      <formula>"N/A"</formula>
    </cfRule>
  </conditionalFormatting>
  <conditionalFormatting sqref="K34">
    <cfRule type="expression" dxfId="2056" priority="2162" stopIfTrue="1">
      <formula>IF(OR(K34="Y",K34="y",K34="Partial",K34="partial"),TRUE,FALSE)=FALSE</formula>
    </cfRule>
    <cfRule type="expression" dxfId="2055" priority="2163" stopIfTrue="1">
      <formula>IF(OR(K34="Partial",K34="partial"),TRUE,FALSE)=TRUE</formula>
    </cfRule>
    <cfRule type="expression" dxfId="2054" priority="2164" stopIfTrue="1">
      <formula>IF(OR(K34="Y",K34="y"),TRUE,FALSE)=TRUE</formula>
    </cfRule>
  </conditionalFormatting>
  <conditionalFormatting sqref="K34">
    <cfRule type="cellIs" dxfId="2053" priority="2161" stopIfTrue="1" operator="equal">
      <formula>"N/A"</formula>
    </cfRule>
  </conditionalFormatting>
  <conditionalFormatting sqref="L34">
    <cfRule type="expression" dxfId="2052" priority="2158" stopIfTrue="1">
      <formula>IF(OR(L34="Y",L34="y",L34="Partial",L34="partial"),TRUE,FALSE)=FALSE</formula>
    </cfRule>
    <cfRule type="expression" dxfId="2051" priority="2159" stopIfTrue="1">
      <formula>IF(OR(L34="Partial",L34="partial"),TRUE,FALSE)=TRUE</formula>
    </cfRule>
    <cfRule type="expression" dxfId="2050" priority="2160" stopIfTrue="1">
      <formula>IF(OR(L34="Y",L34="y"),TRUE,FALSE)=TRUE</formula>
    </cfRule>
  </conditionalFormatting>
  <conditionalFormatting sqref="L34">
    <cfRule type="cellIs" dxfId="2049" priority="2157" stopIfTrue="1" operator="equal">
      <formula>"N/A"</formula>
    </cfRule>
  </conditionalFormatting>
  <conditionalFormatting sqref="M34">
    <cfRule type="expression" dxfId="2048" priority="2154" stopIfTrue="1">
      <formula>IF(OR(M34="Y",M34="y",M34="Partial",M34="partial"),TRUE,FALSE)=FALSE</formula>
    </cfRule>
    <cfRule type="expression" dxfId="2047" priority="2155" stopIfTrue="1">
      <formula>IF(OR(M34="Partial",M34="partial"),TRUE,FALSE)=TRUE</formula>
    </cfRule>
    <cfRule type="expression" dxfId="2046" priority="2156" stopIfTrue="1">
      <formula>IF(OR(M34="Y",M34="y"),TRUE,FALSE)=TRUE</formula>
    </cfRule>
  </conditionalFormatting>
  <conditionalFormatting sqref="M34">
    <cfRule type="cellIs" dxfId="2045" priority="2153" stopIfTrue="1" operator="equal">
      <formula>"N/A"</formula>
    </cfRule>
  </conditionalFormatting>
  <conditionalFormatting sqref="N34">
    <cfRule type="expression" dxfId="2044" priority="2150" stopIfTrue="1">
      <formula>IF(OR(N34="Y",N34="y",N34="Partial",N34="partial"),TRUE,FALSE)=FALSE</formula>
    </cfRule>
    <cfRule type="expression" dxfId="2043" priority="2151" stopIfTrue="1">
      <formula>IF(OR(N34="Partial",N34="partial"),TRUE,FALSE)=TRUE</formula>
    </cfRule>
    <cfRule type="expression" dxfId="2042" priority="2152" stopIfTrue="1">
      <formula>IF(OR(N34="Y",N34="y"),TRUE,FALSE)=TRUE</formula>
    </cfRule>
  </conditionalFormatting>
  <conditionalFormatting sqref="N34">
    <cfRule type="cellIs" dxfId="2041" priority="2149" stopIfTrue="1" operator="equal">
      <formula>"N/A"</formula>
    </cfRule>
  </conditionalFormatting>
  <conditionalFormatting sqref="O34">
    <cfRule type="expression" dxfId="2040" priority="2146" stopIfTrue="1">
      <formula>IF(OR(O34="Y",O34="y",O34="Partial",O34="partial"),TRUE,FALSE)=FALSE</formula>
    </cfRule>
    <cfRule type="expression" dxfId="2039" priority="2147" stopIfTrue="1">
      <formula>IF(OR(O34="Partial",O34="partial"),TRUE,FALSE)=TRUE</formula>
    </cfRule>
    <cfRule type="expression" dxfId="2038" priority="2148" stopIfTrue="1">
      <formula>IF(OR(O34="Y",O34="y"),TRUE,FALSE)=TRUE</formula>
    </cfRule>
  </conditionalFormatting>
  <conditionalFormatting sqref="O34">
    <cfRule type="cellIs" dxfId="2037" priority="2145" stopIfTrue="1" operator="equal">
      <formula>"N/A"</formula>
    </cfRule>
  </conditionalFormatting>
  <conditionalFormatting sqref="P34">
    <cfRule type="expression" dxfId="2036" priority="2142" stopIfTrue="1">
      <formula>IF(OR(P34="Y",P34="y",P34="Partial",P34="partial"),TRUE,FALSE)=FALSE</formula>
    </cfRule>
    <cfRule type="expression" dxfId="2035" priority="2143" stopIfTrue="1">
      <formula>IF(OR(P34="Partial",P34="partial"),TRUE,FALSE)=TRUE</formula>
    </cfRule>
    <cfRule type="expression" dxfId="2034" priority="2144" stopIfTrue="1">
      <formula>IF(OR(P34="Y",P34="y"),TRUE,FALSE)=TRUE</formula>
    </cfRule>
  </conditionalFormatting>
  <conditionalFormatting sqref="P34">
    <cfRule type="cellIs" dxfId="2033" priority="2141" stopIfTrue="1" operator="equal">
      <formula>"N/A"</formula>
    </cfRule>
  </conditionalFormatting>
  <conditionalFormatting sqref="R34">
    <cfRule type="expression" dxfId="2032" priority="2134" stopIfTrue="1">
      <formula>IF(OR(R34="Y",R34="y",R34="Partial",R34="partial"),TRUE,FALSE)=FALSE</formula>
    </cfRule>
    <cfRule type="expression" dxfId="2031" priority="2135" stopIfTrue="1">
      <formula>IF(OR(R34="Partial",R34="partial"),TRUE,FALSE)=TRUE</formula>
    </cfRule>
    <cfRule type="expression" dxfId="2030" priority="2136" stopIfTrue="1">
      <formula>IF(OR(R34="Y",R34="y"),TRUE,FALSE)=TRUE</formula>
    </cfRule>
  </conditionalFormatting>
  <conditionalFormatting sqref="R34">
    <cfRule type="cellIs" dxfId="2029" priority="2133" stopIfTrue="1" operator="equal">
      <formula>"N/A"</formula>
    </cfRule>
  </conditionalFormatting>
  <conditionalFormatting sqref="S34">
    <cfRule type="expression" dxfId="2028" priority="2130" stopIfTrue="1">
      <formula>IF(OR(S34="Y",S34="y",S34="Partial",S34="partial"),TRUE,FALSE)=FALSE</formula>
    </cfRule>
    <cfRule type="expression" dxfId="2027" priority="2131" stopIfTrue="1">
      <formula>IF(OR(S34="Partial",S34="partial"),TRUE,FALSE)=TRUE</formula>
    </cfRule>
    <cfRule type="expression" dxfId="2026" priority="2132" stopIfTrue="1">
      <formula>IF(OR(S34="Y",S34="y"),TRUE,FALSE)=TRUE</formula>
    </cfRule>
  </conditionalFormatting>
  <conditionalFormatting sqref="S34">
    <cfRule type="cellIs" dxfId="2025" priority="2129" stopIfTrue="1" operator="equal">
      <formula>"N/A"</formula>
    </cfRule>
  </conditionalFormatting>
  <conditionalFormatting sqref="T34">
    <cfRule type="expression" dxfId="2024" priority="2126" stopIfTrue="1">
      <formula>IF(OR(T34="Y",T34="y",T34="Partial",T34="partial"),TRUE,FALSE)=FALSE</formula>
    </cfRule>
    <cfRule type="expression" dxfId="2023" priority="2127" stopIfTrue="1">
      <formula>IF(OR(T34="Partial",T34="partial"),TRUE,FALSE)=TRUE</formula>
    </cfRule>
    <cfRule type="expression" dxfId="2022" priority="2128" stopIfTrue="1">
      <formula>IF(OR(T34="Y",T34="y"),TRUE,FALSE)=TRUE</formula>
    </cfRule>
  </conditionalFormatting>
  <conditionalFormatting sqref="T34">
    <cfRule type="cellIs" dxfId="2021" priority="2125" stopIfTrue="1" operator="equal">
      <formula>"N/A"</formula>
    </cfRule>
  </conditionalFormatting>
  <conditionalFormatting sqref="U34">
    <cfRule type="expression" dxfId="2020" priority="2122" stopIfTrue="1">
      <formula>IF(OR(U34="Y",U34="y",U34="Partial",U34="partial"),TRUE,FALSE)=FALSE</formula>
    </cfRule>
    <cfRule type="expression" dxfId="2019" priority="2123" stopIfTrue="1">
      <formula>IF(OR(U34="Partial",U34="partial"),TRUE,FALSE)=TRUE</formula>
    </cfRule>
    <cfRule type="expression" dxfId="2018" priority="2124" stopIfTrue="1">
      <formula>IF(OR(U34="Y",U34="y"),TRUE,FALSE)=TRUE</formula>
    </cfRule>
  </conditionalFormatting>
  <conditionalFormatting sqref="U34">
    <cfRule type="cellIs" dxfId="2017" priority="2121" stopIfTrue="1" operator="equal">
      <formula>"N/A"</formula>
    </cfRule>
  </conditionalFormatting>
  <conditionalFormatting sqref="V34">
    <cfRule type="expression" dxfId="2016" priority="2118" stopIfTrue="1">
      <formula>IF(OR(V34="Y",V34="y",V34="Partial",V34="partial"),TRUE,FALSE)=FALSE</formula>
    </cfRule>
    <cfRule type="expression" dxfId="2015" priority="2119" stopIfTrue="1">
      <formula>IF(OR(V34="Partial",V34="partial"),TRUE,FALSE)=TRUE</formula>
    </cfRule>
    <cfRule type="expression" dxfId="2014" priority="2120" stopIfTrue="1">
      <formula>IF(OR(V34="Y",V34="y"),TRUE,FALSE)=TRUE</formula>
    </cfRule>
  </conditionalFormatting>
  <conditionalFormatting sqref="V34">
    <cfRule type="cellIs" dxfId="2013" priority="2117" stopIfTrue="1" operator="equal">
      <formula>"N/A"</formula>
    </cfRule>
  </conditionalFormatting>
  <conditionalFormatting sqref="W34">
    <cfRule type="expression" dxfId="2012" priority="2114" stopIfTrue="1">
      <formula>IF(OR(W34="Y",W34="y",W34="Partial",W34="partial"),TRUE,FALSE)=FALSE</formula>
    </cfRule>
    <cfRule type="expression" dxfId="2011" priority="2115" stopIfTrue="1">
      <formula>IF(OR(W34="Partial",W34="partial"),TRUE,FALSE)=TRUE</formula>
    </cfRule>
    <cfRule type="expression" dxfId="2010" priority="2116" stopIfTrue="1">
      <formula>IF(OR(W34="Y",W34="y"),TRUE,FALSE)=TRUE</formula>
    </cfRule>
  </conditionalFormatting>
  <conditionalFormatting sqref="W34">
    <cfRule type="cellIs" dxfId="2009" priority="2113" stopIfTrue="1" operator="equal">
      <formula>"N/A"</formula>
    </cfRule>
  </conditionalFormatting>
  <conditionalFormatting sqref="X34">
    <cfRule type="expression" dxfId="2008" priority="2110" stopIfTrue="1">
      <formula>IF(OR(X34="Y",X34="y",X34="Partial",X34="partial"),TRUE,FALSE)=FALSE</formula>
    </cfRule>
    <cfRule type="expression" dxfId="2007" priority="2111" stopIfTrue="1">
      <formula>IF(OR(X34="Partial",X34="partial"),TRUE,FALSE)=TRUE</formula>
    </cfRule>
    <cfRule type="expression" dxfId="2006" priority="2112" stopIfTrue="1">
      <formula>IF(OR(X34="Y",X34="y"),TRUE,FALSE)=TRUE</formula>
    </cfRule>
  </conditionalFormatting>
  <conditionalFormatting sqref="X34">
    <cfRule type="cellIs" dxfId="2005" priority="2109" stopIfTrue="1" operator="equal">
      <formula>"N/A"</formula>
    </cfRule>
  </conditionalFormatting>
  <conditionalFormatting sqref="H35">
    <cfRule type="expression" dxfId="2004" priority="2106" stopIfTrue="1">
      <formula>IF(OR(H35="Y",H35="y",H35="Partial",H35="partial"),TRUE,FALSE)=FALSE</formula>
    </cfRule>
    <cfRule type="expression" dxfId="2003" priority="2107" stopIfTrue="1">
      <formula>IF(OR(H35="Partial",H35="partial"),TRUE,FALSE)=TRUE</formula>
    </cfRule>
    <cfRule type="expression" dxfId="2002" priority="2108" stopIfTrue="1">
      <formula>IF(OR(H35="Y",H35="y"),TRUE,FALSE)=TRUE</formula>
    </cfRule>
  </conditionalFormatting>
  <conditionalFormatting sqref="H35">
    <cfRule type="cellIs" dxfId="2001" priority="2105" stopIfTrue="1" operator="equal">
      <formula>"N/A"</formula>
    </cfRule>
  </conditionalFormatting>
  <conditionalFormatting sqref="I35">
    <cfRule type="expression" dxfId="2000" priority="2102" stopIfTrue="1">
      <formula>IF(OR(I35="Y",I35="y",I35="Partial",I35="partial"),TRUE,FALSE)=FALSE</formula>
    </cfRule>
    <cfRule type="expression" dxfId="1999" priority="2103" stopIfTrue="1">
      <formula>IF(OR(I35="Partial",I35="partial"),TRUE,FALSE)=TRUE</formula>
    </cfRule>
    <cfRule type="expression" dxfId="1998" priority="2104" stopIfTrue="1">
      <formula>IF(OR(I35="Y",I35="y"),TRUE,FALSE)=TRUE</formula>
    </cfRule>
  </conditionalFormatting>
  <conditionalFormatting sqref="I35">
    <cfRule type="cellIs" dxfId="1997" priority="2101" stopIfTrue="1" operator="equal">
      <formula>"N/A"</formula>
    </cfRule>
  </conditionalFormatting>
  <conditionalFormatting sqref="J35">
    <cfRule type="expression" dxfId="1996" priority="2098" stopIfTrue="1">
      <formula>IF(OR(J35="Y",J35="y",J35="Partial",J35="partial"),TRUE,FALSE)=FALSE</formula>
    </cfRule>
    <cfRule type="expression" dxfId="1995" priority="2099" stopIfTrue="1">
      <formula>IF(OR(J35="Partial",J35="partial"),TRUE,FALSE)=TRUE</formula>
    </cfRule>
    <cfRule type="expression" dxfId="1994" priority="2100" stopIfTrue="1">
      <formula>IF(OR(J35="Y",J35="y"),TRUE,FALSE)=TRUE</formula>
    </cfRule>
  </conditionalFormatting>
  <conditionalFormatting sqref="J35">
    <cfRule type="cellIs" dxfId="1993" priority="2097" stopIfTrue="1" operator="equal">
      <formula>"N/A"</formula>
    </cfRule>
  </conditionalFormatting>
  <conditionalFormatting sqref="K35">
    <cfRule type="expression" dxfId="1992" priority="2094" stopIfTrue="1">
      <formula>IF(OR(K35="Y",K35="y",K35="Partial",K35="partial"),TRUE,FALSE)=FALSE</formula>
    </cfRule>
    <cfRule type="expression" dxfId="1991" priority="2095" stopIfTrue="1">
      <formula>IF(OR(K35="Partial",K35="partial"),TRUE,FALSE)=TRUE</formula>
    </cfRule>
    <cfRule type="expression" dxfId="1990" priority="2096" stopIfTrue="1">
      <formula>IF(OR(K35="Y",K35="y"),TRUE,FALSE)=TRUE</formula>
    </cfRule>
  </conditionalFormatting>
  <conditionalFormatting sqref="K35">
    <cfRule type="cellIs" dxfId="1989" priority="2093" stopIfTrue="1" operator="equal">
      <formula>"N/A"</formula>
    </cfRule>
  </conditionalFormatting>
  <conditionalFormatting sqref="L35">
    <cfRule type="expression" dxfId="1988" priority="2090" stopIfTrue="1">
      <formula>IF(OR(L35="Y",L35="y",L35="Partial",L35="partial"),TRUE,FALSE)=FALSE</formula>
    </cfRule>
    <cfRule type="expression" dxfId="1987" priority="2091" stopIfTrue="1">
      <formula>IF(OR(L35="Partial",L35="partial"),TRUE,FALSE)=TRUE</formula>
    </cfRule>
    <cfRule type="expression" dxfId="1986" priority="2092" stopIfTrue="1">
      <formula>IF(OR(L35="Y",L35="y"),TRUE,FALSE)=TRUE</formula>
    </cfRule>
  </conditionalFormatting>
  <conditionalFormatting sqref="L35">
    <cfRule type="cellIs" dxfId="1985" priority="2089" stopIfTrue="1" operator="equal">
      <formula>"N/A"</formula>
    </cfRule>
  </conditionalFormatting>
  <conditionalFormatting sqref="M35">
    <cfRule type="expression" dxfId="1984" priority="2086" stopIfTrue="1">
      <formula>IF(OR(M35="Y",M35="y",M35="Partial",M35="partial"),TRUE,FALSE)=FALSE</formula>
    </cfRule>
    <cfRule type="expression" dxfId="1983" priority="2087" stopIfTrue="1">
      <formula>IF(OR(M35="Partial",M35="partial"),TRUE,FALSE)=TRUE</formula>
    </cfRule>
    <cfRule type="expression" dxfId="1982" priority="2088" stopIfTrue="1">
      <formula>IF(OR(M35="Y",M35="y"),TRUE,FALSE)=TRUE</formula>
    </cfRule>
  </conditionalFormatting>
  <conditionalFormatting sqref="M35">
    <cfRule type="cellIs" dxfId="1981" priority="2085" stopIfTrue="1" operator="equal">
      <formula>"N/A"</formula>
    </cfRule>
  </conditionalFormatting>
  <conditionalFormatting sqref="N35">
    <cfRule type="expression" dxfId="1980" priority="2082" stopIfTrue="1">
      <formula>IF(OR(N35="Y",N35="y",N35="Partial",N35="partial"),TRUE,FALSE)=FALSE</formula>
    </cfRule>
    <cfRule type="expression" dxfId="1979" priority="2083" stopIfTrue="1">
      <formula>IF(OR(N35="Partial",N35="partial"),TRUE,FALSE)=TRUE</formula>
    </cfRule>
    <cfRule type="expression" dxfId="1978" priority="2084" stopIfTrue="1">
      <formula>IF(OR(N35="Y",N35="y"),TRUE,FALSE)=TRUE</formula>
    </cfRule>
  </conditionalFormatting>
  <conditionalFormatting sqref="N35">
    <cfRule type="cellIs" dxfId="1977" priority="2081" stopIfTrue="1" operator="equal">
      <formula>"N/A"</formula>
    </cfRule>
  </conditionalFormatting>
  <conditionalFormatting sqref="O35">
    <cfRule type="expression" dxfId="1976" priority="2078" stopIfTrue="1">
      <formula>IF(OR(O35="Y",O35="y",O35="Partial",O35="partial"),TRUE,FALSE)=FALSE</formula>
    </cfRule>
    <cfRule type="expression" dxfId="1975" priority="2079" stopIfTrue="1">
      <formula>IF(OR(O35="Partial",O35="partial"),TRUE,FALSE)=TRUE</formula>
    </cfRule>
    <cfRule type="expression" dxfId="1974" priority="2080" stopIfTrue="1">
      <formula>IF(OR(O35="Y",O35="y"),TRUE,FALSE)=TRUE</formula>
    </cfRule>
  </conditionalFormatting>
  <conditionalFormatting sqref="O35">
    <cfRule type="cellIs" dxfId="1973" priority="2077" stopIfTrue="1" operator="equal">
      <formula>"N/A"</formula>
    </cfRule>
  </conditionalFormatting>
  <conditionalFormatting sqref="P35">
    <cfRule type="expression" dxfId="1972" priority="2074" stopIfTrue="1">
      <formula>IF(OR(P35="Y",P35="y",P35="Partial",P35="partial"),TRUE,FALSE)=FALSE</formula>
    </cfRule>
    <cfRule type="expression" dxfId="1971" priority="2075" stopIfTrue="1">
      <formula>IF(OR(P35="Partial",P35="partial"),TRUE,FALSE)=TRUE</formula>
    </cfRule>
    <cfRule type="expression" dxfId="1970" priority="2076" stopIfTrue="1">
      <formula>IF(OR(P35="Y",P35="y"),TRUE,FALSE)=TRUE</formula>
    </cfRule>
  </conditionalFormatting>
  <conditionalFormatting sqref="P35">
    <cfRule type="cellIs" dxfId="1969" priority="2073" stopIfTrue="1" operator="equal">
      <formula>"N/A"</formula>
    </cfRule>
  </conditionalFormatting>
  <conditionalFormatting sqref="R35">
    <cfRule type="expression" dxfId="1968" priority="2066" stopIfTrue="1">
      <formula>IF(OR(R35="Y",R35="y",R35="Partial",R35="partial"),TRUE,FALSE)=FALSE</formula>
    </cfRule>
    <cfRule type="expression" dxfId="1967" priority="2067" stopIfTrue="1">
      <formula>IF(OR(R35="Partial",R35="partial"),TRUE,FALSE)=TRUE</formula>
    </cfRule>
    <cfRule type="expression" dxfId="1966" priority="2068" stopIfTrue="1">
      <formula>IF(OR(R35="Y",R35="y"),TRUE,FALSE)=TRUE</formula>
    </cfRule>
  </conditionalFormatting>
  <conditionalFormatting sqref="R35">
    <cfRule type="cellIs" dxfId="1965" priority="2065" stopIfTrue="1" operator="equal">
      <formula>"N/A"</formula>
    </cfRule>
  </conditionalFormatting>
  <conditionalFormatting sqref="S35">
    <cfRule type="expression" dxfId="1964" priority="2062" stopIfTrue="1">
      <formula>IF(OR(S35="Y",S35="y",S35="Partial",S35="partial"),TRUE,FALSE)=FALSE</formula>
    </cfRule>
    <cfRule type="expression" dxfId="1963" priority="2063" stopIfTrue="1">
      <formula>IF(OR(S35="Partial",S35="partial"),TRUE,FALSE)=TRUE</formula>
    </cfRule>
    <cfRule type="expression" dxfId="1962" priority="2064" stopIfTrue="1">
      <formula>IF(OR(S35="Y",S35="y"),TRUE,FALSE)=TRUE</formula>
    </cfRule>
  </conditionalFormatting>
  <conditionalFormatting sqref="S35">
    <cfRule type="cellIs" dxfId="1961" priority="2061" stopIfTrue="1" operator="equal">
      <formula>"N/A"</formula>
    </cfRule>
  </conditionalFormatting>
  <conditionalFormatting sqref="T35">
    <cfRule type="expression" dxfId="1960" priority="2058" stopIfTrue="1">
      <formula>IF(OR(T35="Y",T35="y",T35="Partial",T35="partial"),TRUE,FALSE)=FALSE</formula>
    </cfRule>
    <cfRule type="expression" dxfId="1959" priority="2059" stopIfTrue="1">
      <formula>IF(OR(T35="Partial",T35="partial"),TRUE,FALSE)=TRUE</formula>
    </cfRule>
    <cfRule type="expression" dxfId="1958" priority="2060" stopIfTrue="1">
      <formula>IF(OR(T35="Y",T35="y"),TRUE,FALSE)=TRUE</formula>
    </cfRule>
  </conditionalFormatting>
  <conditionalFormatting sqref="T35">
    <cfRule type="cellIs" dxfId="1957" priority="2057" stopIfTrue="1" operator="equal">
      <formula>"N/A"</formula>
    </cfRule>
  </conditionalFormatting>
  <conditionalFormatting sqref="U35">
    <cfRule type="expression" dxfId="1956" priority="2054" stopIfTrue="1">
      <formula>IF(OR(U35="Y",U35="y",U35="Partial",U35="partial"),TRUE,FALSE)=FALSE</formula>
    </cfRule>
    <cfRule type="expression" dxfId="1955" priority="2055" stopIfTrue="1">
      <formula>IF(OR(U35="Partial",U35="partial"),TRUE,FALSE)=TRUE</formula>
    </cfRule>
    <cfRule type="expression" dxfId="1954" priority="2056" stopIfTrue="1">
      <formula>IF(OR(U35="Y",U35="y"),TRUE,FALSE)=TRUE</formula>
    </cfRule>
  </conditionalFormatting>
  <conditionalFormatting sqref="U35">
    <cfRule type="cellIs" dxfId="1953" priority="2053" stopIfTrue="1" operator="equal">
      <formula>"N/A"</formula>
    </cfRule>
  </conditionalFormatting>
  <conditionalFormatting sqref="V35">
    <cfRule type="expression" dxfId="1952" priority="2050" stopIfTrue="1">
      <formula>IF(OR(V35="Y",V35="y",V35="Partial",V35="partial"),TRUE,FALSE)=FALSE</formula>
    </cfRule>
    <cfRule type="expression" dxfId="1951" priority="2051" stopIfTrue="1">
      <formula>IF(OR(V35="Partial",V35="partial"),TRUE,FALSE)=TRUE</formula>
    </cfRule>
    <cfRule type="expression" dxfId="1950" priority="2052" stopIfTrue="1">
      <formula>IF(OR(V35="Y",V35="y"),TRUE,FALSE)=TRUE</formula>
    </cfRule>
  </conditionalFormatting>
  <conditionalFormatting sqref="V35">
    <cfRule type="cellIs" dxfId="1949" priority="2049" stopIfTrue="1" operator="equal">
      <formula>"N/A"</formula>
    </cfRule>
  </conditionalFormatting>
  <conditionalFormatting sqref="W35">
    <cfRule type="expression" dxfId="1948" priority="2046" stopIfTrue="1">
      <formula>IF(OR(W35="Y",W35="y",W35="Partial",W35="partial"),TRUE,FALSE)=FALSE</formula>
    </cfRule>
    <cfRule type="expression" dxfId="1947" priority="2047" stopIfTrue="1">
      <formula>IF(OR(W35="Partial",W35="partial"),TRUE,FALSE)=TRUE</formula>
    </cfRule>
    <cfRule type="expression" dxfId="1946" priority="2048" stopIfTrue="1">
      <formula>IF(OR(W35="Y",W35="y"),TRUE,FALSE)=TRUE</formula>
    </cfRule>
  </conditionalFormatting>
  <conditionalFormatting sqref="W35">
    <cfRule type="cellIs" dxfId="1945" priority="2045" stopIfTrue="1" operator="equal">
      <formula>"N/A"</formula>
    </cfRule>
  </conditionalFormatting>
  <conditionalFormatting sqref="X35">
    <cfRule type="expression" dxfId="1944" priority="2042" stopIfTrue="1">
      <formula>IF(OR(X35="Y",X35="y",X35="Partial",X35="partial"),TRUE,FALSE)=FALSE</formula>
    </cfRule>
    <cfRule type="expression" dxfId="1943" priority="2043" stopIfTrue="1">
      <formula>IF(OR(X35="Partial",X35="partial"),TRUE,FALSE)=TRUE</formula>
    </cfRule>
    <cfRule type="expression" dxfId="1942" priority="2044" stopIfTrue="1">
      <formula>IF(OR(X35="Y",X35="y"),TRUE,FALSE)=TRUE</formula>
    </cfRule>
  </conditionalFormatting>
  <conditionalFormatting sqref="X35">
    <cfRule type="cellIs" dxfId="1941" priority="2041" stopIfTrue="1" operator="equal">
      <formula>"N/A"</formula>
    </cfRule>
  </conditionalFormatting>
  <conditionalFormatting sqref="H36">
    <cfRule type="expression" dxfId="1940" priority="2038" stopIfTrue="1">
      <formula>IF(OR(H36="Y",H36="y",H36="Partial",H36="partial"),TRUE,FALSE)=FALSE</formula>
    </cfRule>
    <cfRule type="expression" dxfId="1939" priority="2039" stopIfTrue="1">
      <formula>IF(OR(H36="Partial",H36="partial"),TRUE,FALSE)=TRUE</formula>
    </cfRule>
    <cfRule type="expression" dxfId="1938" priority="2040" stopIfTrue="1">
      <formula>IF(OR(H36="Y",H36="y"),TRUE,FALSE)=TRUE</formula>
    </cfRule>
  </conditionalFormatting>
  <conditionalFormatting sqref="H36">
    <cfRule type="cellIs" dxfId="1937" priority="2037" stopIfTrue="1" operator="equal">
      <formula>"N/A"</formula>
    </cfRule>
  </conditionalFormatting>
  <conditionalFormatting sqref="I36">
    <cfRule type="expression" dxfId="1936" priority="2034" stopIfTrue="1">
      <formula>IF(OR(I36="Y",I36="y",I36="Partial",I36="partial"),TRUE,FALSE)=FALSE</formula>
    </cfRule>
    <cfRule type="expression" dxfId="1935" priority="2035" stopIfTrue="1">
      <formula>IF(OR(I36="Partial",I36="partial"),TRUE,FALSE)=TRUE</formula>
    </cfRule>
    <cfRule type="expression" dxfId="1934" priority="2036" stopIfTrue="1">
      <formula>IF(OR(I36="Y",I36="y"),TRUE,FALSE)=TRUE</formula>
    </cfRule>
  </conditionalFormatting>
  <conditionalFormatting sqref="I36">
    <cfRule type="cellIs" dxfId="1933" priority="2033" stopIfTrue="1" operator="equal">
      <formula>"N/A"</formula>
    </cfRule>
  </conditionalFormatting>
  <conditionalFormatting sqref="J36">
    <cfRule type="expression" dxfId="1932" priority="2030" stopIfTrue="1">
      <formula>IF(OR(J36="Y",J36="y",J36="Partial",J36="partial"),TRUE,FALSE)=FALSE</formula>
    </cfRule>
    <cfRule type="expression" dxfId="1931" priority="2031" stopIfTrue="1">
      <formula>IF(OR(J36="Partial",J36="partial"),TRUE,FALSE)=TRUE</formula>
    </cfRule>
    <cfRule type="expression" dxfId="1930" priority="2032" stopIfTrue="1">
      <formula>IF(OR(J36="Y",J36="y"),TRUE,FALSE)=TRUE</formula>
    </cfRule>
  </conditionalFormatting>
  <conditionalFormatting sqref="J36">
    <cfRule type="cellIs" dxfId="1929" priority="2029" stopIfTrue="1" operator="equal">
      <formula>"N/A"</formula>
    </cfRule>
  </conditionalFormatting>
  <conditionalFormatting sqref="K36">
    <cfRule type="expression" dxfId="1928" priority="2026" stopIfTrue="1">
      <formula>IF(OR(K36="Y",K36="y",K36="Partial",K36="partial"),TRUE,FALSE)=FALSE</formula>
    </cfRule>
    <cfRule type="expression" dxfId="1927" priority="2027" stopIfTrue="1">
      <formula>IF(OR(K36="Partial",K36="partial"),TRUE,FALSE)=TRUE</formula>
    </cfRule>
    <cfRule type="expression" dxfId="1926" priority="2028" stopIfTrue="1">
      <formula>IF(OR(K36="Y",K36="y"),TRUE,FALSE)=TRUE</formula>
    </cfRule>
  </conditionalFormatting>
  <conditionalFormatting sqref="K36">
    <cfRule type="cellIs" dxfId="1925" priority="2025" stopIfTrue="1" operator="equal">
      <formula>"N/A"</formula>
    </cfRule>
  </conditionalFormatting>
  <conditionalFormatting sqref="L36">
    <cfRule type="expression" dxfId="1924" priority="2022" stopIfTrue="1">
      <formula>IF(OR(L36="Y",L36="y",L36="Partial",L36="partial"),TRUE,FALSE)=FALSE</formula>
    </cfRule>
    <cfRule type="expression" dxfId="1923" priority="2023" stopIfTrue="1">
      <formula>IF(OR(L36="Partial",L36="partial"),TRUE,FALSE)=TRUE</formula>
    </cfRule>
    <cfRule type="expression" dxfId="1922" priority="2024" stopIfTrue="1">
      <formula>IF(OR(L36="Y",L36="y"),TRUE,FALSE)=TRUE</formula>
    </cfRule>
  </conditionalFormatting>
  <conditionalFormatting sqref="L36">
    <cfRule type="cellIs" dxfId="1921" priority="2021" stopIfTrue="1" operator="equal">
      <formula>"N/A"</formula>
    </cfRule>
  </conditionalFormatting>
  <conditionalFormatting sqref="M36">
    <cfRule type="expression" dxfId="1920" priority="2018" stopIfTrue="1">
      <formula>IF(OR(M36="Y",M36="y",M36="Partial",M36="partial"),TRUE,FALSE)=FALSE</formula>
    </cfRule>
    <cfRule type="expression" dxfId="1919" priority="2019" stopIfTrue="1">
      <formula>IF(OR(M36="Partial",M36="partial"),TRUE,FALSE)=TRUE</formula>
    </cfRule>
    <cfRule type="expression" dxfId="1918" priority="2020" stopIfTrue="1">
      <formula>IF(OR(M36="Y",M36="y"),TRUE,FALSE)=TRUE</formula>
    </cfRule>
  </conditionalFormatting>
  <conditionalFormatting sqref="M36">
    <cfRule type="cellIs" dxfId="1917" priority="2017" stopIfTrue="1" operator="equal">
      <formula>"N/A"</formula>
    </cfRule>
  </conditionalFormatting>
  <conditionalFormatting sqref="N36">
    <cfRule type="expression" dxfId="1916" priority="2014" stopIfTrue="1">
      <formula>IF(OR(N36="Y",N36="y",N36="Partial",N36="partial"),TRUE,FALSE)=FALSE</formula>
    </cfRule>
    <cfRule type="expression" dxfId="1915" priority="2015" stopIfTrue="1">
      <formula>IF(OR(N36="Partial",N36="partial"),TRUE,FALSE)=TRUE</formula>
    </cfRule>
    <cfRule type="expression" dxfId="1914" priority="2016" stopIfTrue="1">
      <formula>IF(OR(N36="Y",N36="y"),TRUE,FALSE)=TRUE</formula>
    </cfRule>
  </conditionalFormatting>
  <conditionalFormatting sqref="N36">
    <cfRule type="cellIs" dxfId="1913" priority="2013" stopIfTrue="1" operator="equal">
      <formula>"N/A"</formula>
    </cfRule>
  </conditionalFormatting>
  <conditionalFormatting sqref="O36">
    <cfRule type="expression" dxfId="1912" priority="2010" stopIfTrue="1">
      <formula>IF(OR(O36="Y",O36="y",O36="Partial",O36="partial"),TRUE,FALSE)=FALSE</formula>
    </cfRule>
    <cfRule type="expression" dxfId="1911" priority="2011" stopIfTrue="1">
      <formula>IF(OR(O36="Partial",O36="partial"),TRUE,FALSE)=TRUE</formula>
    </cfRule>
    <cfRule type="expression" dxfId="1910" priority="2012" stopIfTrue="1">
      <formula>IF(OR(O36="Y",O36="y"),TRUE,FALSE)=TRUE</formula>
    </cfRule>
  </conditionalFormatting>
  <conditionalFormatting sqref="O36">
    <cfRule type="cellIs" dxfId="1909" priority="2009" stopIfTrue="1" operator="equal">
      <formula>"N/A"</formula>
    </cfRule>
  </conditionalFormatting>
  <conditionalFormatting sqref="P36">
    <cfRule type="expression" dxfId="1908" priority="2006" stopIfTrue="1">
      <formula>IF(OR(P36="Y",P36="y",P36="Partial",P36="partial"),TRUE,FALSE)=FALSE</formula>
    </cfRule>
    <cfRule type="expression" dxfId="1907" priority="2007" stopIfTrue="1">
      <formula>IF(OR(P36="Partial",P36="partial"),TRUE,FALSE)=TRUE</formula>
    </cfRule>
    <cfRule type="expression" dxfId="1906" priority="2008" stopIfTrue="1">
      <formula>IF(OR(P36="Y",P36="y"),TRUE,FALSE)=TRUE</formula>
    </cfRule>
  </conditionalFormatting>
  <conditionalFormatting sqref="P36">
    <cfRule type="cellIs" dxfId="1905" priority="2005" stopIfTrue="1" operator="equal">
      <formula>"N/A"</formula>
    </cfRule>
  </conditionalFormatting>
  <conditionalFormatting sqref="R36">
    <cfRule type="expression" dxfId="1904" priority="1998" stopIfTrue="1">
      <formula>IF(OR(R36="Y",R36="y",R36="Partial",R36="partial"),TRUE,FALSE)=FALSE</formula>
    </cfRule>
    <cfRule type="expression" dxfId="1903" priority="1999" stopIfTrue="1">
      <formula>IF(OR(R36="Partial",R36="partial"),TRUE,FALSE)=TRUE</formula>
    </cfRule>
    <cfRule type="expression" dxfId="1902" priority="2000" stopIfTrue="1">
      <formula>IF(OR(R36="Y",R36="y"),TRUE,FALSE)=TRUE</formula>
    </cfRule>
  </conditionalFormatting>
  <conditionalFormatting sqref="R36">
    <cfRule type="cellIs" dxfId="1901" priority="1997" stopIfTrue="1" operator="equal">
      <formula>"N/A"</formula>
    </cfRule>
  </conditionalFormatting>
  <conditionalFormatting sqref="S36">
    <cfRule type="expression" dxfId="1900" priority="1994" stopIfTrue="1">
      <formula>IF(OR(S36="Y",S36="y",S36="Partial",S36="partial"),TRUE,FALSE)=FALSE</formula>
    </cfRule>
    <cfRule type="expression" dxfId="1899" priority="1995" stopIfTrue="1">
      <formula>IF(OR(S36="Partial",S36="partial"),TRUE,FALSE)=TRUE</formula>
    </cfRule>
    <cfRule type="expression" dxfId="1898" priority="1996" stopIfTrue="1">
      <formula>IF(OR(S36="Y",S36="y"),TRUE,FALSE)=TRUE</formula>
    </cfRule>
  </conditionalFormatting>
  <conditionalFormatting sqref="S36">
    <cfRule type="cellIs" dxfId="1897" priority="1993" stopIfTrue="1" operator="equal">
      <formula>"N/A"</formula>
    </cfRule>
  </conditionalFormatting>
  <conditionalFormatting sqref="T36">
    <cfRule type="expression" dxfId="1896" priority="1990" stopIfTrue="1">
      <formula>IF(OR(T36="Y",T36="y",T36="Partial",T36="partial"),TRUE,FALSE)=FALSE</formula>
    </cfRule>
    <cfRule type="expression" dxfId="1895" priority="1991" stopIfTrue="1">
      <formula>IF(OR(T36="Partial",T36="partial"),TRUE,FALSE)=TRUE</formula>
    </cfRule>
    <cfRule type="expression" dxfId="1894" priority="1992" stopIfTrue="1">
      <formula>IF(OR(T36="Y",T36="y"),TRUE,FALSE)=TRUE</formula>
    </cfRule>
  </conditionalFormatting>
  <conditionalFormatting sqref="T36">
    <cfRule type="cellIs" dxfId="1893" priority="1989" stopIfTrue="1" operator="equal">
      <formula>"N/A"</formula>
    </cfRule>
  </conditionalFormatting>
  <conditionalFormatting sqref="U36">
    <cfRule type="expression" dxfId="1892" priority="1986" stopIfTrue="1">
      <formula>IF(OR(U36="Y",U36="y",U36="Partial",U36="partial"),TRUE,FALSE)=FALSE</formula>
    </cfRule>
    <cfRule type="expression" dxfId="1891" priority="1987" stopIfTrue="1">
      <formula>IF(OR(U36="Partial",U36="partial"),TRUE,FALSE)=TRUE</formula>
    </cfRule>
    <cfRule type="expression" dxfId="1890" priority="1988" stopIfTrue="1">
      <formula>IF(OR(U36="Y",U36="y"),TRUE,FALSE)=TRUE</formula>
    </cfRule>
  </conditionalFormatting>
  <conditionalFormatting sqref="U36">
    <cfRule type="cellIs" dxfId="1889" priority="1985" stopIfTrue="1" operator="equal">
      <formula>"N/A"</formula>
    </cfRule>
  </conditionalFormatting>
  <conditionalFormatting sqref="V36">
    <cfRule type="expression" dxfId="1888" priority="1982" stopIfTrue="1">
      <formula>IF(OR(V36="Y",V36="y",V36="Partial",V36="partial"),TRUE,FALSE)=FALSE</formula>
    </cfRule>
    <cfRule type="expression" dxfId="1887" priority="1983" stopIfTrue="1">
      <formula>IF(OR(V36="Partial",V36="partial"),TRUE,FALSE)=TRUE</formula>
    </cfRule>
    <cfRule type="expression" dxfId="1886" priority="1984" stopIfTrue="1">
      <formula>IF(OR(V36="Y",V36="y"),TRUE,FALSE)=TRUE</formula>
    </cfRule>
  </conditionalFormatting>
  <conditionalFormatting sqref="V36">
    <cfRule type="cellIs" dxfId="1885" priority="1981" stopIfTrue="1" operator="equal">
      <formula>"N/A"</formula>
    </cfRule>
  </conditionalFormatting>
  <conditionalFormatting sqref="W36">
    <cfRule type="expression" dxfId="1884" priority="1978" stopIfTrue="1">
      <formula>IF(OR(W36="Y",W36="y",W36="Partial",W36="partial"),TRUE,FALSE)=FALSE</formula>
    </cfRule>
    <cfRule type="expression" dxfId="1883" priority="1979" stopIfTrue="1">
      <formula>IF(OR(W36="Partial",W36="partial"),TRUE,FALSE)=TRUE</formula>
    </cfRule>
    <cfRule type="expression" dxfId="1882" priority="1980" stopIfTrue="1">
      <formula>IF(OR(W36="Y",W36="y"),TRUE,FALSE)=TRUE</formula>
    </cfRule>
  </conditionalFormatting>
  <conditionalFormatting sqref="W36">
    <cfRule type="cellIs" dxfId="1881" priority="1977" stopIfTrue="1" operator="equal">
      <formula>"N/A"</formula>
    </cfRule>
  </conditionalFormatting>
  <conditionalFormatting sqref="X36">
    <cfRule type="expression" dxfId="1880" priority="1974" stopIfTrue="1">
      <formula>IF(OR(X36="Y",X36="y",X36="Partial",X36="partial"),TRUE,FALSE)=FALSE</formula>
    </cfRule>
    <cfRule type="expression" dxfId="1879" priority="1975" stopIfTrue="1">
      <formula>IF(OR(X36="Partial",X36="partial"),TRUE,FALSE)=TRUE</formula>
    </cfRule>
    <cfRule type="expression" dxfId="1878" priority="1976" stopIfTrue="1">
      <formula>IF(OR(X36="Y",X36="y"),TRUE,FALSE)=TRUE</formula>
    </cfRule>
  </conditionalFormatting>
  <conditionalFormatting sqref="X36">
    <cfRule type="cellIs" dxfId="1877" priority="1973" stopIfTrue="1" operator="equal">
      <formula>"N/A"</formula>
    </cfRule>
  </conditionalFormatting>
  <conditionalFormatting sqref="H37">
    <cfRule type="expression" dxfId="1876" priority="1970" stopIfTrue="1">
      <formula>IF(OR(H37="Y",H37="y",H37="Partial",H37="partial"),TRUE,FALSE)=FALSE</formula>
    </cfRule>
    <cfRule type="expression" dxfId="1875" priority="1971" stopIfTrue="1">
      <formula>IF(OR(H37="Partial",H37="partial"),TRUE,FALSE)=TRUE</formula>
    </cfRule>
    <cfRule type="expression" dxfId="1874" priority="1972" stopIfTrue="1">
      <formula>IF(OR(H37="Y",H37="y"),TRUE,FALSE)=TRUE</formula>
    </cfRule>
  </conditionalFormatting>
  <conditionalFormatting sqref="H37">
    <cfRule type="cellIs" dxfId="1873" priority="1969" stopIfTrue="1" operator="equal">
      <formula>"N/A"</formula>
    </cfRule>
  </conditionalFormatting>
  <conditionalFormatting sqref="I37">
    <cfRule type="expression" dxfId="1872" priority="1966" stopIfTrue="1">
      <formula>IF(OR(I37="Y",I37="y",I37="Partial",I37="partial"),TRUE,FALSE)=FALSE</formula>
    </cfRule>
    <cfRule type="expression" dxfId="1871" priority="1967" stopIfTrue="1">
      <formula>IF(OR(I37="Partial",I37="partial"),TRUE,FALSE)=TRUE</formula>
    </cfRule>
    <cfRule type="expression" dxfId="1870" priority="1968" stopIfTrue="1">
      <formula>IF(OR(I37="Y",I37="y"),TRUE,FALSE)=TRUE</formula>
    </cfRule>
  </conditionalFormatting>
  <conditionalFormatting sqref="I37">
    <cfRule type="cellIs" dxfId="1869" priority="1965" stopIfTrue="1" operator="equal">
      <formula>"N/A"</formula>
    </cfRule>
  </conditionalFormatting>
  <conditionalFormatting sqref="J37">
    <cfRule type="expression" dxfId="1868" priority="1962" stopIfTrue="1">
      <formula>IF(OR(J37="Y",J37="y",J37="Partial",J37="partial"),TRUE,FALSE)=FALSE</formula>
    </cfRule>
    <cfRule type="expression" dxfId="1867" priority="1963" stopIfTrue="1">
      <formula>IF(OR(J37="Partial",J37="partial"),TRUE,FALSE)=TRUE</formula>
    </cfRule>
    <cfRule type="expression" dxfId="1866" priority="1964" stopIfTrue="1">
      <formula>IF(OR(J37="Y",J37="y"),TRUE,FALSE)=TRUE</formula>
    </cfRule>
  </conditionalFormatting>
  <conditionalFormatting sqref="J37">
    <cfRule type="cellIs" dxfId="1865" priority="1961" stopIfTrue="1" operator="equal">
      <formula>"N/A"</formula>
    </cfRule>
  </conditionalFormatting>
  <conditionalFormatting sqref="K37">
    <cfRule type="expression" dxfId="1864" priority="1958" stopIfTrue="1">
      <formula>IF(OR(K37="Y",K37="y",K37="Partial",K37="partial"),TRUE,FALSE)=FALSE</formula>
    </cfRule>
    <cfRule type="expression" dxfId="1863" priority="1959" stopIfTrue="1">
      <formula>IF(OR(K37="Partial",K37="partial"),TRUE,FALSE)=TRUE</formula>
    </cfRule>
    <cfRule type="expression" dxfId="1862" priority="1960" stopIfTrue="1">
      <formula>IF(OR(K37="Y",K37="y"),TRUE,FALSE)=TRUE</formula>
    </cfRule>
  </conditionalFormatting>
  <conditionalFormatting sqref="K37">
    <cfRule type="cellIs" dxfId="1861" priority="1957" stopIfTrue="1" operator="equal">
      <formula>"N/A"</formula>
    </cfRule>
  </conditionalFormatting>
  <conditionalFormatting sqref="L37">
    <cfRule type="expression" dxfId="1860" priority="1954" stopIfTrue="1">
      <formula>IF(OR(L37="Y",L37="y",L37="Partial",L37="partial"),TRUE,FALSE)=FALSE</formula>
    </cfRule>
    <cfRule type="expression" dxfId="1859" priority="1955" stopIfTrue="1">
      <formula>IF(OR(L37="Partial",L37="partial"),TRUE,FALSE)=TRUE</formula>
    </cfRule>
    <cfRule type="expression" dxfId="1858" priority="1956" stopIfTrue="1">
      <formula>IF(OR(L37="Y",L37="y"),TRUE,FALSE)=TRUE</formula>
    </cfRule>
  </conditionalFormatting>
  <conditionalFormatting sqref="L37">
    <cfRule type="cellIs" dxfId="1857" priority="1953" stopIfTrue="1" operator="equal">
      <formula>"N/A"</formula>
    </cfRule>
  </conditionalFormatting>
  <conditionalFormatting sqref="M37">
    <cfRule type="expression" dxfId="1856" priority="1950" stopIfTrue="1">
      <formula>IF(OR(M37="Y",M37="y",M37="Partial",M37="partial"),TRUE,FALSE)=FALSE</formula>
    </cfRule>
    <cfRule type="expression" dxfId="1855" priority="1951" stopIfTrue="1">
      <formula>IF(OR(M37="Partial",M37="partial"),TRUE,FALSE)=TRUE</formula>
    </cfRule>
    <cfRule type="expression" dxfId="1854" priority="1952" stopIfTrue="1">
      <formula>IF(OR(M37="Y",M37="y"),TRUE,FALSE)=TRUE</formula>
    </cfRule>
  </conditionalFormatting>
  <conditionalFormatting sqref="M37">
    <cfRule type="cellIs" dxfId="1853" priority="1949" stopIfTrue="1" operator="equal">
      <formula>"N/A"</formula>
    </cfRule>
  </conditionalFormatting>
  <conditionalFormatting sqref="N37">
    <cfRule type="expression" dxfId="1852" priority="1946" stopIfTrue="1">
      <formula>IF(OR(N37="Y",N37="y",N37="Partial",N37="partial"),TRUE,FALSE)=FALSE</formula>
    </cfRule>
    <cfRule type="expression" dxfId="1851" priority="1947" stopIfTrue="1">
      <formula>IF(OR(N37="Partial",N37="partial"),TRUE,FALSE)=TRUE</formula>
    </cfRule>
    <cfRule type="expression" dxfId="1850" priority="1948" stopIfTrue="1">
      <formula>IF(OR(N37="Y",N37="y"),TRUE,FALSE)=TRUE</formula>
    </cfRule>
  </conditionalFormatting>
  <conditionalFormatting sqref="N37">
    <cfRule type="cellIs" dxfId="1849" priority="1945" stopIfTrue="1" operator="equal">
      <formula>"N/A"</formula>
    </cfRule>
  </conditionalFormatting>
  <conditionalFormatting sqref="O37">
    <cfRule type="expression" dxfId="1848" priority="1942" stopIfTrue="1">
      <formula>IF(OR(O37="Y",O37="y",O37="Partial",O37="partial"),TRUE,FALSE)=FALSE</formula>
    </cfRule>
    <cfRule type="expression" dxfId="1847" priority="1943" stopIfTrue="1">
      <formula>IF(OR(O37="Partial",O37="partial"),TRUE,FALSE)=TRUE</formula>
    </cfRule>
    <cfRule type="expression" dxfId="1846" priority="1944" stopIfTrue="1">
      <formula>IF(OR(O37="Y",O37="y"),TRUE,FALSE)=TRUE</formula>
    </cfRule>
  </conditionalFormatting>
  <conditionalFormatting sqref="O37">
    <cfRule type="cellIs" dxfId="1845" priority="1941" stopIfTrue="1" operator="equal">
      <formula>"N/A"</formula>
    </cfRule>
  </conditionalFormatting>
  <conditionalFormatting sqref="P37">
    <cfRule type="expression" dxfId="1844" priority="1938" stopIfTrue="1">
      <formula>IF(OR(P37="Y",P37="y",P37="Partial",P37="partial"),TRUE,FALSE)=FALSE</formula>
    </cfRule>
    <cfRule type="expression" dxfId="1843" priority="1939" stopIfTrue="1">
      <formula>IF(OR(P37="Partial",P37="partial"),TRUE,FALSE)=TRUE</formula>
    </cfRule>
    <cfRule type="expression" dxfId="1842" priority="1940" stopIfTrue="1">
      <formula>IF(OR(P37="Y",P37="y"),TRUE,FALSE)=TRUE</formula>
    </cfRule>
  </conditionalFormatting>
  <conditionalFormatting sqref="P37">
    <cfRule type="cellIs" dxfId="1841" priority="1937" stopIfTrue="1" operator="equal">
      <formula>"N/A"</formula>
    </cfRule>
  </conditionalFormatting>
  <conditionalFormatting sqref="R37">
    <cfRule type="expression" dxfId="1840" priority="1930" stopIfTrue="1">
      <formula>IF(OR(R37="Y",R37="y",R37="Partial",R37="partial"),TRUE,FALSE)=FALSE</formula>
    </cfRule>
    <cfRule type="expression" dxfId="1839" priority="1931" stopIfTrue="1">
      <formula>IF(OR(R37="Partial",R37="partial"),TRUE,FALSE)=TRUE</formula>
    </cfRule>
    <cfRule type="expression" dxfId="1838" priority="1932" stopIfTrue="1">
      <formula>IF(OR(R37="Y",R37="y"),TRUE,FALSE)=TRUE</formula>
    </cfRule>
  </conditionalFormatting>
  <conditionalFormatting sqref="R37">
    <cfRule type="cellIs" dxfId="1837" priority="1929" stopIfTrue="1" operator="equal">
      <formula>"N/A"</formula>
    </cfRule>
  </conditionalFormatting>
  <conditionalFormatting sqref="S37">
    <cfRule type="expression" dxfId="1836" priority="1926" stopIfTrue="1">
      <formula>IF(OR(S37="Y",S37="y",S37="Partial",S37="partial"),TRUE,FALSE)=FALSE</formula>
    </cfRule>
    <cfRule type="expression" dxfId="1835" priority="1927" stopIfTrue="1">
      <formula>IF(OR(S37="Partial",S37="partial"),TRUE,FALSE)=TRUE</formula>
    </cfRule>
    <cfRule type="expression" dxfId="1834" priority="1928" stopIfTrue="1">
      <formula>IF(OR(S37="Y",S37="y"),TRUE,FALSE)=TRUE</formula>
    </cfRule>
  </conditionalFormatting>
  <conditionalFormatting sqref="S37">
    <cfRule type="cellIs" dxfId="1833" priority="1925" stopIfTrue="1" operator="equal">
      <formula>"N/A"</formula>
    </cfRule>
  </conditionalFormatting>
  <conditionalFormatting sqref="T37">
    <cfRule type="expression" dxfId="1832" priority="1922" stopIfTrue="1">
      <formula>IF(OR(T37="Y",T37="y",T37="Partial",T37="partial"),TRUE,FALSE)=FALSE</formula>
    </cfRule>
    <cfRule type="expression" dxfId="1831" priority="1923" stopIfTrue="1">
      <formula>IF(OR(T37="Partial",T37="partial"),TRUE,FALSE)=TRUE</formula>
    </cfRule>
    <cfRule type="expression" dxfId="1830" priority="1924" stopIfTrue="1">
      <formula>IF(OR(T37="Y",T37="y"),TRUE,FALSE)=TRUE</formula>
    </cfRule>
  </conditionalFormatting>
  <conditionalFormatting sqref="T37">
    <cfRule type="cellIs" dxfId="1829" priority="1921" stopIfTrue="1" operator="equal">
      <formula>"N/A"</formula>
    </cfRule>
  </conditionalFormatting>
  <conditionalFormatting sqref="U37">
    <cfRule type="expression" dxfId="1828" priority="1918" stopIfTrue="1">
      <formula>IF(OR(U37="Y",U37="y",U37="Partial",U37="partial"),TRUE,FALSE)=FALSE</formula>
    </cfRule>
    <cfRule type="expression" dxfId="1827" priority="1919" stopIfTrue="1">
      <formula>IF(OR(U37="Partial",U37="partial"),TRUE,FALSE)=TRUE</formula>
    </cfRule>
    <cfRule type="expression" dxfId="1826" priority="1920" stopIfTrue="1">
      <formula>IF(OR(U37="Y",U37="y"),TRUE,FALSE)=TRUE</formula>
    </cfRule>
  </conditionalFormatting>
  <conditionalFormatting sqref="U37">
    <cfRule type="cellIs" dxfId="1825" priority="1917" stopIfTrue="1" operator="equal">
      <formula>"N/A"</formula>
    </cfRule>
  </conditionalFormatting>
  <conditionalFormatting sqref="V37">
    <cfRule type="expression" dxfId="1824" priority="1914" stopIfTrue="1">
      <formula>IF(OR(V37="Y",V37="y",V37="Partial",V37="partial"),TRUE,FALSE)=FALSE</formula>
    </cfRule>
    <cfRule type="expression" dxfId="1823" priority="1915" stopIfTrue="1">
      <formula>IF(OR(V37="Partial",V37="partial"),TRUE,FALSE)=TRUE</formula>
    </cfRule>
    <cfRule type="expression" dxfId="1822" priority="1916" stopIfTrue="1">
      <formula>IF(OR(V37="Y",V37="y"),TRUE,FALSE)=TRUE</formula>
    </cfRule>
  </conditionalFormatting>
  <conditionalFormatting sqref="V37">
    <cfRule type="cellIs" dxfId="1821" priority="1913" stopIfTrue="1" operator="equal">
      <formula>"N/A"</formula>
    </cfRule>
  </conditionalFormatting>
  <conditionalFormatting sqref="W37">
    <cfRule type="expression" dxfId="1820" priority="1910" stopIfTrue="1">
      <formula>IF(OR(W37="Y",W37="y",W37="Partial",W37="partial"),TRUE,FALSE)=FALSE</formula>
    </cfRule>
    <cfRule type="expression" dxfId="1819" priority="1911" stopIfTrue="1">
      <formula>IF(OR(W37="Partial",W37="partial"),TRUE,FALSE)=TRUE</formula>
    </cfRule>
    <cfRule type="expression" dxfId="1818" priority="1912" stopIfTrue="1">
      <formula>IF(OR(W37="Y",W37="y"),TRUE,FALSE)=TRUE</formula>
    </cfRule>
  </conditionalFormatting>
  <conditionalFormatting sqref="W37">
    <cfRule type="cellIs" dxfId="1817" priority="1909" stopIfTrue="1" operator="equal">
      <formula>"N/A"</formula>
    </cfRule>
  </conditionalFormatting>
  <conditionalFormatting sqref="X37">
    <cfRule type="expression" dxfId="1816" priority="1906" stopIfTrue="1">
      <formula>IF(OR(X37="Y",X37="y",X37="Partial",X37="partial"),TRUE,FALSE)=FALSE</formula>
    </cfRule>
    <cfRule type="expression" dxfId="1815" priority="1907" stopIfTrue="1">
      <formula>IF(OR(X37="Partial",X37="partial"),TRUE,FALSE)=TRUE</formula>
    </cfRule>
    <cfRule type="expression" dxfId="1814" priority="1908" stopIfTrue="1">
      <formula>IF(OR(X37="Y",X37="y"),TRUE,FALSE)=TRUE</formula>
    </cfRule>
  </conditionalFormatting>
  <conditionalFormatting sqref="X37">
    <cfRule type="cellIs" dxfId="1813" priority="1905" stopIfTrue="1" operator="equal">
      <formula>"N/A"</formula>
    </cfRule>
  </conditionalFormatting>
  <conditionalFormatting sqref="H38">
    <cfRule type="expression" dxfId="1812" priority="1902" stopIfTrue="1">
      <formula>IF(OR(H38="Y",H38="y",H38="Partial",H38="partial"),TRUE,FALSE)=FALSE</formula>
    </cfRule>
    <cfRule type="expression" dxfId="1811" priority="1903" stopIfTrue="1">
      <formula>IF(OR(H38="Partial",H38="partial"),TRUE,FALSE)=TRUE</formula>
    </cfRule>
    <cfRule type="expression" dxfId="1810" priority="1904" stopIfTrue="1">
      <formula>IF(OR(H38="Y",H38="y"),TRUE,FALSE)=TRUE</formula>
    </cfRule>
  </conditionalFormatting>
  <conditionalFormatting sqref="H38">
    <cfRule type="cellIs" dxfId="1809" priority="1901" stopIfTrue="1" operator="equal">
      <formula>"N/A"</formula>
    </cfRule>
  </conditionalFormatting>
  <conditionalFormatting sqref="I38">
    <cfRule type="expression" dxfId="1808" priority="1898" stopIfTrue="1">
      <formula>IF(OR(I38="Y",I38="y",I38="Partial",I38="partial"),TRUE,FALSE)=FALSE</formula>
    </cfRule>
    <cfRule type="expression" dxfId="1807" priority="1899" stopIfTrue="1">
      <formula>IF(OR(I38="Partial",I38="partial"),TRUE,FALSE)=TRUE</formula>
    </cfRule>
    <cfRule type="expression" dxfId="1806" priority="1900" stopIfTrue="1">
      <formula>IF(OR(I38="Y",I38="y"),TRUE,FALSE)=TRUE</formula>
    </cfRule>
  </conditionalFormatting>
  <conditionalFormatting sqref="I38">
    <cfRule type="cellIs" dxfId="1805" priority="1897" stopIfTrue="1" operator="equal">
      <formula>"N/A"</formula>
    </cfRule>
  </conditionalFormatting>
  <conditionalFormatting sqref="J38">
    <cfRule type="expression" dxfId="1804" priority="1894" stopIfTrue="1">
      <formula>IF(OR(J38="Y",J38="y",J38="Partial",J38="partial"),TRUE,FALSE)=FALSE</formula>
    </cfRule>
    <cfRule type="expression" dxfId="1803" priority="1895" stopIfTrue="1">
      <formula>IF(OR(J38="Partial",J38="partial"),TRUE,FALSE)=TRUE</formula>
    </cfRule>
    <cfRule type="expression" dxfId="1802" priority="1896" stopIfTrue="1">
      <formula>IF(OR(J38="Y",J38="y"),TRUE,FALSE)=TRUE</formula>
    </cfRule>
  </conditionalFormatting>
  <conditionalFormatting sqref="J38">
    <cfRule type="cellIs" dxfId="1801" priority="1893" stopIfTrue="1" operator="equal">
      <formula>"N/A"</formula>
    </cfRule>
  </conditionalFormatting>
  <conditionalFormatting sqref="K38">
    <cfRule type="expression" dxfId="1800" priority="1890" stopIfTrue="1">
      <formula>IF(OR(K38="Y",K38="y",K38="Partial",K38="partial"),TRUE,FALSE)=FALSE</formula>
    </cfRule>
    <cfRule type="expression" dxfId="1799" priority="1891" stopIfTrue="1">
      <formula>IF(OR(K38="Partial",K38="partial"),TRUE,FALSE)=TRUE</formula>
    </cfRule>
    <cfRule type="expression" dxfId="1798" priority="1892" stopIfTrue="1">
      <formula>IF(OR(K38="Y",K38="y"),TRUE,FALSE)=TRUE</formula>
    </cfRule>
  </conditionalFormatting>
  <conditionalFormatting sqref="K38">
    <cfRule type="cellIs" dxfId="1797" priority="1889" stopIfTrue="1" operator="equal">
      <formula>"N/A"</formula>
    </cfRule>
  </conditionalFormatting>
  <conditionalFormatting sqref="L38">
    <cfRule type="expression" dxfId="1796" priority="1886" stopIfTrue="1">
      <formula>IF(OR(L38="Y",L38="y",L38="Partial",L38="partial"),TRUE,FALSE)=FALSE</formula>
    </cfRule>
    <cfRule type="expression" dxfId="1795" priority="1887" stopIfTrue="1">
      <formula>IF(OR(L38="Partial",L38="partial"),TRUE,FALSE)=TRUE</formula>
    </cfRule>
    <cfRule type="expression" dxfId="1794" priority="1888" stopIfTrue="1">
      <formula>IF(OR(L38="Y",L38="y"),TRUE,FALSE)=TRUE</formula>
    </cfRule>
  </conditionalFormatting>
  <conditionalFormatting sqref="L38">
    <cfRule type="cellIs" dxfId="1793" priority="1885" stopIfTrue="1" operator="equal">
      <formula>"N/A"</formula>
    </cfRule>
  </conditionalFormatting>
  <conditionalFormatting sqref="M38">
    <cfRule type="expression" dxfId="1792" priority="1882" stopIfTrue="1">
      <formula>IF(OR(M38="Y",M38="y",M38="Partial",M38="partial"),TRUE,FALSE)=FALSE</formula>
    </cfRule>
    <cfRule type="expression" dxfId="1791" priority="1883" stopIfTrue="1">
      <formula>IF(OR(M38="Partial",M38="partial"),TRUE,FALSE)=TRUE</formula>
    </cfRule>
    <cfRule type="expression" dxfId="1790" priority="1884" stopIfTrue="1">
      <formula>IF(OR(M38="Y",M38="y"),TRUE,FALSE)=TRUE</formula>
    </cfRule>
  </conditionalFormatting>
  <conditionalFormatting sqref="M38">
    <cfRule type="cellIs" dxfId="1789" priority="1881" stopIfTrue="1" operator="equal">
      <formula>"N/A"</formula>
    </cfRule>
  </conditionalFormatting>
  <conditionalFormatting sqref="N38">
    <cfRule type="expression" dxfId="1788" priority="1878" stopIfTrue="1">
      <formula>IF(OR(N38="Y",N38="y",N38="Partial",N38="partial"),TRUE,FALSE)=FALSE</formula>
    </cfRule>
    <cfRule type="expression" dxfId="1787" priority="1879" stopIfTrue="1">
      <formula>IF(OR(N38="Partial",N38="partial"),TRUE,FALSE)=TRUE</formula>
    </cfRule>
    <cfRule type="expression" dxfId="1786" priority="1880" stopIfTrue="1">
      <formula>IF(OR(N38="Y",N38="y"),TRUE,FALSE)=TRUE</formula>
    </cfRule>
  </conditionalFormatting>
  <conditionalFormatting sqref="N38">
    <cfRule type="cellIs" dxfId="1785" priority="1877" stopIfTrue="1" operator="equal">
      <formula>"N/A"</formula>
    </cfRule>
  </conditionalFormatting>
  <conditionalFormatting sqref="O38">
    <cfRule type="expression" dxfId="1784" priority="1874" stopIfTrue="1">
      <formula>IF(OR(O38="Y",O38="y",O38="Partial",O38="partial"),TRUE,FALSE)=FALSE</formula>
    </cfRule>
    <cfRule type="expression" dxfId="1783" priority="1875" stopIfTrue="1">
      <formula>IF(OR(O38="Partial",O38="partial"),TRUE,FALSE)=TRUE</formula>
    </cfRule>
    <cfRule type="expression" dxfId="1782" priority="1876" stopIfTrue="1">
      <formula>IF(OR(O38="Y",O38="y"),TRUE,FALSE)=TRUE</formula>
    </cfRule>
  </conditionalFormatting>
  <conditionalFormatting sqref="O38">
    <cfRule type="cellIs" dxfId="1781" priority="1873" stopIfTrue="1" operator="equal">
      <formula>"N/A"</formula>
    </cfRule>
  </conditionalFormatting>
  <conditionalFormatting sqref="P38">
    <cfRule type="expression" dxfId="1780" priority="1870" stopIfTrue="1">
      <formula>IF(OR(P38="Y",P38="y",P38="Partial",P38="partial"),TRUE,FALSE)=FALSE</formula>
    </cfRule>
    <cfRule type="expression" dxfId="1779" priority="1871" stopIfTrue="1">
      <formula>IF(OR(P38="Partial",P38="partial"),TRUE,FALSE)=TRUE</formula>
    </cfRule>
    <cfRule type="expression" dxfId="1778" priority="1872" stopIfTrue="1">
      <formula>IF(OR(P38="Y",P38="y"),TRUE,FALSE)=TRUE</formula>
    </cfRule>
  </conditionalFormatting>
  <conditionalFormatting sqref="P38">
    <cfRule type="cellIs" dxfId="1777" priority="1869" stopIfTrue="1" operator="equal">
      <formula>"N/A"</formula>
    </cfRule>
  </conditionalFormatting>
  <conditionalFormatting sqref="R38">
    <cfRule type="expression" dxfId="1776" priority="1862" stopIfTrue="1">
      <formula>IF(OR(R38="Y",R38="y",R38="Partial",R38="partial"),TRUE,FALSE)=FALSE</formula>
    </cfRule>
    <cfRule type="expression" dxfId="1775" priority="1863" stopIfTrue="1">
      <formula>IF(OR(R38="Partial",R38="partial"),TRUE,FALSE)=TRUE</formula>
    </cfRule>
    <cfRule type="expression" dxfId="1774" priority="1864" stopIfTrue="1">
      <formula>IF(OR(R38="Y",R38="y"),TRUE,FALSE)=TRUE</formula>
    </cfRule>
  </conditionalFormatting>
  <conditionalFormatting sqref="R38">
    <cfRule type="cellIs" dxfId="1773" priority="1861" stopIfTrue="1" operator="equal">
      <formula>"N/A"</formula>
    </cfRule>
  </conditionalFormatting>
  <conditionalFormatting sqref="S38">
    <cfRule type="expression" dxfId="1772" priority="1858" stopIfTrue="1">
      <formula>IF(OR(S38="Y",S38="y",S38="Partial",S38="partial"),TRUE,FALSE)=FALSE</formula>
    </cfRule>
    <cfRule type="expression" dxfId="1771" priority="1859" stopIfTrue="1">
      <formula>IF(OR(S38="Partial",S38="partial"),TRUE,FALSE)=TRUE</formula>
    </cfRule>
    <cfRule type="expression" dxfId="1770" priority="1860" stopIfTrue="1">
      <formula>IF(OR(S38="Y",S38="y"),TRUE,FALSE)=TRUE</formula>
    </cfRule>
  </conditionalFormatting>
  <conditionalFormatting sqref="S38">
    <cfRule type="cellIs" dxfId="1769" priority="1857" stopIfTrue="1" operator="equal">
      <formula>"N/A"</formula>
    </cfRule>
  </conditionalFormatting>
  <conditionalFormatting sqref="T38">
    <cfRule type="expression" dxfId="1768" priority="1854" stopIfTrue="1">
      <formula>IF(OR(T38="Y",T38="y",T38="Partial",T38="partial"),TRUE,FALSE)=FALSE</formula>
    </cfRule>
    <cfRule type="expression" dxfId="1767" priority="1855" stopIfTrue="1">
      <formula>IF(OR(T38="Partial",T38="partial"),TRUE,FALSE)=TRUE</formula>
    </cfRule>
    <cfRule type="expression" dxfId="1766" priority="1856" stopIfTrue="1">
      <formula>IF(OR(T38="Y",T38="y"),TRUE,FALSE)=TRUE</formula>
    </cfRule>
  </conditionalFormatting>
  <conditionalFormatting sqref="T38">
    <cfRule type="cellIs" dxfId="1765" priority="1853" stopIfTrue="1" operator="equal">
      <formula>"N/A"</formula>
    </cfRule>
  </conditionalFormatting>
  <conditionalFormatting sqref="U38">
    <cfRule type="expression" dxfId="1764" priority="1850" stopIfTrue="1">
      <formula>IF(OR(U38="Y",U38="y",U38="Partial",U38="partial"),TRUE,FALSE)=FALSE</formula>
    </cfRule>
    <cfRule type="expression" dxfId="1763" priority="1851" stopIfTrue="1">
      <formula>IF(OR(U38="Partial",U38="partial"),TRUE,FALSE)=TRUE</formula>
    </cfRule>
    <cfRule type="expression" dxfId="1762" priority="1852" stopIfTrue="1">
      <formula>IF(OR(U38="Y",U38="y"),TRUE,FALSE)=TRUE</formula>
    </cfRule>
  </conditionalFormatting>
  <conditionalFormatting sqref="U38">
    <cfRule type="cellIs" dxfId="1761" priority="1849" stopIfTrue="1" operator="equal">
      <formula>"N/A"</formula>
    </cfRule>
  </conditionalFormatting>
  <conditionalFormatting sqref="V38">
    <cfRule type="expression" dxfId="1760" priority="1846" stopIfTrue="1">
      <formula>IF(OR(V38="Y",V38="y",V38="Partial",V38="partial"),TRUE,FALSE)=FALSE</formula>
    </cfRule>
    <cfRule type="expression" dxfId="1759" priority="1847" stopIfTrue="1">
      <formula>IF(OR(V38="Partial",V38="partial"),TRUE,FALSE)=TRUE</formula>
    </cfRule>
    <cfRule type="expression" dxfId="1758" priority="1848" stopIfTrue="1">
      <formula>IF(OR(V38="Y",V38="y"),TRUE,FALSE)=TRUE</formula>
    </cfRule>
  </conditionalFormatting>
  <conditionalFormatting sqref="V38">
    <cfRule type="cellIs" dxfId="1757" priority="1845" stopIfTrue="1" operator="equal">
      <formula>"N/A"</formula>
    </cfRule>
  </conditionalFormatting>
  <conditionalFormatting sqref="W38">
    <cfRule type="expression" dxfId="1756" priority="1842" stopIfTrue="1">
      <formula>IF(OR(W38="Y",W38="y",W38="Partial",W38="partial"),TRUE,FALSE)=FALSE</formula>
    </cfRule>
    <cfRule type="expression" dxfId="1755" priority="1843" stopIfTrue="1">
      <formula>IF(OR(W38="Partial",W38="partial"),TRUE,FALSE)=TRUE</formula>
    </cfRule>
    <cfRule type="expression" dxfId="1754" priority="1844" stopIfTrue="1">
      <formula>IF(OR(W38="Y",W38="y"),TRUE,FALSE)=TRUE</formula>
    </cfRule>
  </conditionalFormatting>
  <conditionalFormatting sqref="W38">
    <cfRule type="cellIs" dxfId="1753" priority="1841" stopIfTrue="1" operator="equal">
      <formula>"N/A"</formula>
    </cfRule>
  </conditionalFormatting>
  <conditionalFormatting sqref="X38">
    <cfRule type="expression" dxfId="1752" priority="1838" stopIfTrue="1">
      <formula>IF(OR(X38="Y",X38="y",X38="Partial",X38="partial"),TRUE,FALSE)=FALSE</formula>
    </cfRule>
    <cfRule type="expression" dxfId="1751" priority="1839" stopIfTrue="1">
      <formula>IF(OR(X38="Partial",X38="partial"),TRUE,FALSE)=TRUE</formula>
    </cfRule>
    <cfRule type="expression" dxfId="1750" priority="1840" stopIfTrue="1">
      <formula>IF(OR(X38="Y",X38="y"),TRUE,FALSE)=TRUE</formula>
    </cfRule>
  </conditionalFormatting>
  <conditionalFormatting sqref="X38">
    <cfRule type="cellIs" dxfId="1749" priority="1837" stopIfTrue="1" operator="equal">
      <formula>"N/A"</formula>
    </cfRule>
  </conditionalFormatting>
  <conditionalFormatting sqref="H39">
    <cfRule type="expression" dxfId="1748" priority="1834" stopIfTrue="1">
      <formula>IF(OR(H39="Y",H39="y",H39="Partial",H39="partial"),TRUE,FALSE)=FALSE</formula>
    </cfRule>
    <cfRule type="expression" dxfId="1747" priority="1835" stopIfTrue="1">
      <formula>IF(OR(H39="Partial",H39="partial"),TRUE,FALSE)=TRUE</formula>
    </cfRule>
    <cfRule type="expression" dxfId="1746" priority="1836" stopIfTrue="1">
      <formula>IF(OR(H39="Y",H39="y"),TRUE,FALSE)=TRUE</formula>
    </cfRule>
  </conditionalFormatting>
  <conditionalFormatting sqref="H39">
    <cfRule type="cellIs" dxfId="1745" priority="1833" stopIfTrue="1" operator="equal">
      <formula>"N/A"</formula>
    </cfRule>
  </conditionalFormatting>
  <conditionalFormatting sqref="I39">
    <cfRule type="expression" dxfId="1744" priority="1830" stopIfTrue="1">
      <formula>IF(OR(I39="Y",I39="y",I39="Partial",I39="partial"),TRUE,FALSE)=FALSE</formula>
    </cfRule>
    <cfRule type="expression" dxfId="1743" priority="1831" stopIfTrue="1">
      <formula>IF(OR(I39="Partial",I39="partial"),TRUE,FALSE)=TRUE</formula>
    </cfRule>
    <cfRule type="expression" dxfId="1742" priority="1832" stopIfTrue="1">
      <formula>IF(OR(I39="Y",I39="y"),TRUE,FALSE)=TRUE</formula>
    </cfRule>
  </conditionalFormatting>
  <conditionalFormatting sqref="I39">
    <cfRule type="cellIs" dxfId="1741" priority="1829" stopIfTrue="1" operator="equal">
      <formula>"N/A"</formula>
    </cfRule>
  </conditionalFormatting>
  <conditionalFormatting sqref="J39">
    <cfRule type="expression" dxfId="1740" priority="1826" stopIfTrue="1">
      <formula>IF(OR(J39="Y",J39="y",J39="Partial",J39="partial"),TRUE,FALSE)=FALSE</formula>
    </cfRule>
    <cfRule type="expression" dxfId="1739" priority="1827" stopIfTrue="1">
      <formula>IF(OR(J39="Partial",J39="partial"),TRUE,FALSE)=TRUE</formula>
    </cfRule>
    <cfRule type="expression" dxfId="1738" priority="1828" stopIfTrue="1">
      <formula>IF(OR(J39="Y",J39="y"),TRUE,FALSE)=TRUE</formula>
    </cfRule>
  </conditionalFormatting>
  <conditionalFormatting sqref="J39">
    <cfRule type="cellIs" dxfId="1737" priority="1825" stopIfTrue="1" operator="equal">
      <formula>"N/A"</formula>
    </cfRule>
  </conditionalFormatting>
  <conditionalFormatting sqref="K39">
    <cfRule type="expression" dxfId="1736" priority="1822" stopIfTrue="1">
      <formula>IF(OR(K39="Y",K39="y",K39="Partial",K39="partial"),TRUE,FALSE)=FALSE</formula>
    </cfRule>
    <cfRule type="expression" dxfId="1735" priority="1823" stopIfTrue="1">
      <formula>IF(OR(K39="Partial",K39="partial"),TRUE,FALSE)=TRUE</formula>
    </cfRule>
    <cfRule type="expression" dxfId="1734" priority="1824" stopIfTrue="1">
      <formula>IF(OR(K39="Y",K39="y"),TRUE,FALSE)=TRUE</formula>
    </cfRule>
  </conditionalFormatting>
  <conditionalFormatting sqref="K39">
    <cfRule type="cellIs" dxfId="1733" priority="1821" stopIfTrue="1" operator="equal">
      <formula>"N/A"</formula>
    </cfRule>
  </conditionalFormatting>
  <conditionalFormatting sqref="L39">
    <cfRule type="expression" dxfId="1732" priority="1818" stopIfTrue="1">
      <formula>IF(OR(L39="Y",L39="y",L39="Partial",L39="partial"),TRUE,FALSE)=FALSE</formula>
    </cfRule>
    <cfRule type="expression" dxfId="1731" priority="1819" stopIfTrue="1">
      <formula>IF(OR(L39="Partial",L39="partial"),TRUE,FALSE)=TRUE</formula>
    </cfRule>
    <cfRule type="expression" dxfId="1730" priority="1820" stopIfTrue="1">
      <formula>IF(OR(L39="Y",L39="y"),TRUE,FALSE)=TRUE</formula>
    </cfRule>
  </conditionalFormatting>
  <conditionalFormatting sqref="L39">
    <cfRule type="cellIs" dxfId="1729" priority="1817" stopIfTrue="1" operator="equal">
      <formula>"N/A"</formula>
    </cfRule>
  </conditionalFormatting>
  <conditionalFormatting sqref="M39">
    <cfRule type="expression" dxfId="1728" priority="1814" stopIfTrue="1">
      <formula>IF(OR(M39="Y",M39="y",M39="Partial",M39="partial"),TRUE,FALSE)=FALSE</formula>
    </cfRule>
    <cfRule type="expression" dxfId="1727" priority="1815" stopIfTrue="1">
      <formula>IF(OR(M39="Partial",M39="partial"),TRUE,FALSE)=TRUE</formula>
    </cfRule>
    <cfRule type="expression" dxfId="1726" priority="1816" stopIfTrue="1">
      <formula>IF(OR(M39="Y",M39="y"),TRUE,FALSE)=TRUE</formula>
    </cfRule>
  </conditionalFormatting>
  <conditionalFormatting sqref="M39">
    <cfRule type="cellIs" dxfId="1725" priority="1813" stopIfTrue="1" operator="equal">
      <formula>"N/A"</formula>
    </cfRule>
  </conditionalFormatting>
  <conditionalFormatting sqref="N39">
    <cfRule type="expression" dxfId="1724" priority="1810" stopIfTrue="1">
      <formula>IF(OR(N39="Y",N39="y",N39="Partial",N39="partial"),TRUE,FALSE)=FALSE</formula>
    </cfRule>
    <cfRule type="expression" dxfId="1723" priority="1811" stopIfTrue="1">
      <formula>IF(OR(N39="Partial",N39="partial"),TRUE,FALSE)=TRUE</formula>
    </cfRule>
    <cfRule type="expression" dxfId="1722" priority="1812" stopIfTrue="1">
      <formula>IF(OR(N39="Y",N39="y"),TRUE,FALSE)=TRUE</formula>
    </cfRule>
  </conditionalFormatting>
  <conditionalFormatting sqref="N39">
    <cfRule type="cellIs" dxfId="1721" priority="1809" stopIfTrue="1" operator="equal">
      <formula>"N/A"</formula>
    </cfRule>
  </conditionalFormatting>
  <conditionalFormatting sqref="O39">
    <cfRule type="expression" dxfId="1720" priority="1806" stopIfTrue="1">
      <formula>IF(OR(O39="Y",O39="y",O39="Partial",O39="partial"),TRUE,FALSE)=FALSE</formula>
    </cfRule>
    <cfRule type="expression" dxfId="1719" priority="1807" stopIfTrue="1">
      <formula>IF(OR(O39="Partial",O39="partial"),TRUE,FALSE)=TRUE</formula>
    </cfRule>
    <cfRule type="expression" dxfId="1718" priority="1808" stopIfTrue="1">
      <formula>IF(OR(O39="Y",O39="y"),TRUE,FALSE)=TRUE</formula>
    </cfRule>
  </conditionalFormatting>
  <conditionalFormatting sqref="O39">
    <cfRule type="cellIs" dxfId="1717" priority="1805" stopIfTrue="1" operator="equal">
      <formula>"N/A"</formula>
    </cfRule>
  </conditionalFormatting>
  <conditionalFormatting sqref="P39">
    <cfRule type="expression" dxfId="1716" priority="1802" stopIfTrue="1">
      <formula>IF(OR(P39="Y",P39="y",P39="Partial",P39="partial"),TRUE,FALSE)=FALSE</formula>
    </cfRule>
    <cfRule type="expression" dxfId="1715" priority="1803" stopIfTrue="1">
      <formula>IF(OR(P39="Partial",P39="partial"),TRUE,FALSE)=TRUE</formula>
    </cfRule>
    <cfRule type="expression" dxfId="1714" priority="1804" stopIfTrue="1">
      <formula>IF(OR(P39="Y",P39="y"),TRUE,FALSE)=TRUE</formula>
    </cfRule>
  </conditionalFormatting>
  <conditionalFormatting sqref="P39">
    <cfRule type="cellIs" dxfId="1713" priority="1801" stopIfTrue="1" operator="equal">
      <formula>"N/A"</formula>
    </cfRule>
  </conditionalFormatting>
  <conditionalFormatting sqref="R39">
    <cfRule type="expression" dxfId="1712" priority="1794" stopIfTrue="1">
      <formula>IF(OR(R39="Y",R39="y",R39="Partial",R39="partial"),TRUE,FALSE)=FALSE</formula>
    </cfRule>
    <cfRule type="expression" dxfId="1711" priority="1795" stopIfTrue="1">
      <formula>IF(OR(R39="Partial",R39="partial"),TRUE,FALSE)=TRUE</formula>
    </cfRule>
    <cfRule type="expression" dxfId="1710" priority="1796" stopIfTrue="1">
      <formula>IF(OR(R39="Y",R39="y"),TRUE,FALSE)=TRUE</formula>
    </cfRule>
  </conditionalFormatting>
  <conditionalFormatting sqref="R39">
    <cfRule type="cellIs" dxfId="1709" priority="1793" stopIfTrue="1" operator="equal">
      <formula>"N/A"</formula>
    </cfRule>
  </conditionalFormatting>
  <conditionalFormatting sqref="S39">
    <cfRule type="expression" dxfId="1708" priority="1790" stopIfTrue="1">
      <formula>IF(OR(S39="Y",S39="y",S39="Partial",S39="partial"),TRUE,FALSE)=FALSE</formula>
    </cfRule>
    <cfRule type="expression" dxfId="1707" priority="1791" stopIfTrue="1">
      <formula>IF(OR(S39="Partial",S39="partial"),TRUE,FALSE)=TRUE</formula>
    </cfRule>
    <cfRule type="expression" dxfId="1706" priority="1792" stopIfTrue="1">
      <formula>IF(OR(S39="Y",S39="y"),TRUE,FALSE)=TRUE</formula>
    </cfRule>
  </conditionalFormatting>
  <conditionalFormatting sqref="S39">
    <cfRule type="cellIs" dxfId="1705" priority="1789" stopIfTrue="1" operator="equal">
      <formula>"N/A"</formula>
    </cfRule>
  </conditionalFormatting>
  <conditionalFormatting sqref="T39">
    <cfRule type="expression" dxfId="1704" priority="1786" stopIfTrue="1">
      <formula>IF(OR(T39="Y",T39="y",T39="Partial",T39="partial"),TRUE,FALSE)=FALSE</formula>
    </cfRule>
    <cfRule type="expression" dxfId="1703" priority="1787" stopIfTrue="1">
      <formula>IF(OR(T39="Partial",T39="partial"),TRUE,FALSE)=TRUE</formula>
    </cfRule>
    <cfRule type="expression" dxfId="1702" priority="1788" stopIfTrue="1">
      <formula>IF(OR(T39="Y",T39="y"),TRUE,FALSE)=TRUE</formula>
    </cfRule>
  </conditionalFormatting>
  <conditionalFormatting sqref="T39">
    <cfRule type="cellIs" dxfId="1701" priority="1785" stopIfTrue="1" operator="equal">
      <formula>"N/A"</formula>
    </cfRule>
  </conditionalFormatting>
  <conditionalFormatting sqref="U39">
    <cfRule type="expression" dxfId="1700" priority="1782" stopIfTrue="1">
      <formula>IF(OR(U39="Y",U39="y",U39="Partial",U39="partial"),TRUE,FALSE)=FALSE</formula>
    </cfRule>
    <cfRule type="expression" dxfId="1699" priority="1783" stopIfTrue="1">
      <formula>IF(OR(U39="Partial",U39="partial"),TRUE,FALSE)=TRUE</formula>
    </cfRule>
    <cfRule type="expression" dxfId="1698" priority="1784" stopIfTrue="1">
      <formula>IF(OR(U39="Y",U39="y"),TRUE,FALSE)=TRUE</formula>
    </cfRule>
  </conditionalFormatting>
  <conditionalFormatting sqref="U39">
    <cfRule type="cellIs" dxfId="1697" priority="1781" stopIfTrue="1" operator="equal">
      <formula>"N/A"</formula>
    </cfRule>
  </conditionalFormatting>
  <conditionalFormatting sqref="V39">
    <cfRule type="expression" dxfId="1696" priority="1778" stopIfTrue="1">
      <formula>IF(OR(V39="Y",V39="y",V39="Partial",V39="partial"),TRUE,FALSE)=FALSE</formula>
    </cfRule>
    <cfRule type="expression" dxfId="1695" priority="1779" stopIfTrue="1">
      <formula>IF(OR(V39="Partial",V39="partial"),TRUE,FALSE)=TRUE</formula>
    </cfRule>
    <cfRule type="expression" dxfId="1694" priority="1780" stopIfTrue="1">
      <formula>IF(OR(V39="Y",V39="y"),TRUE,FALSE)=TRUE</formula>
    </cfRule>
  </conditionalFormatting>
  <conditionalFormatting sqref="V39">
    <cfRule type="cellIs" dxfId="1693" priority="1777" stopIfTrue="1" operator="equal">
      <formula>"N/A"</formula>
    </cfRule>
  </conditionalFormatting>
  <conditionalFormatting sqref="W39">
    <cfRule type="expression" dxfId="1692" priority="1774" stopIfTrue="1">
      <formula>IF(OR(W39="Y",W39="y",W39="Partial",W39="partial"),TRUE,FALSE)=FALSE</formula>
    </cfRule>
    <cfRule type="expression" dxfId="1691" priority="1775" stopIfTrue="1">
      <formula>IF(OR(W39="Partial",W39="partial"),TRUE,FALSE)=TRUE</formula>
    </cfRule>
    <cfRule type="expression" dxfId="1690" priority="1776" stopIfTrue="1">
      <formula>IF(OR(W39="Y",W39="y"),TRUE,FALSE)=TRUE</formula>
    </cfRule>
  </conditionalFormatting>
  <conditionalFormatting sqref="W39">
    <cfRule type="cellIs" dxfId="1689" priority="1773" stopIfTrue="1" operator="equal">
      <formula>"N/A"</formula>
    </cfRule>
  </conditionalFormatting>
  <conditionalFormatting sqref="X39">
    <cfRule type="expression" dxfId="1688" priority="1770" stopIfTrue="1">
      <formula>IF(OR(X39="Y",X39="y",X39="Partial",X39="partial"),TRUE,FALSE)=FALSE</formula>
    </cfRule>
    <cfRule type="expression" dxfId="1687" priority="1771" stopIfTrue="1">
      <formula>IF(OR(X39="Partial",X39="partial"),TRUE,FALSE)=TRUE</formula>
    </cfRule>
    <cfRule type="expression" dxfId="1686" priority="1772" stopIfTrue="1">
      <formula>IF(OR(X39="Y",X39="y"),TRUE,FALSE)=TRUE</formula>
    </cfRule>
  </conditionalFormatting>
  <conditionalFormatting sqref="X39">
    <cfRule type="cellIs" dxfId="1685" priority="1769" stopIfTrue="1" operator="equal">
      <formula>"N/A"</formula>
    </cfRule>
  </conditionalFormatting>
  <conditionalFormatting sqref="H40">
    <cfRule type="expression" dxfId="1684" priority="1766" stopIfTrue="1">
      <formula>IF(OR(H40="Y",H40="y",H40="Partial",H40="partial"),TRUE,FALSE)=FALSE</formula>
    </cfRule>
    <cfRule type="expression" dxfId="1683" priority="1767" stopIfTrue="1">
      <formula>IF(OR(H40="Partial",H40="partial"),TRUE,FALSE)=TRUE</formula>
    </cfRule>
    <cfRule type="expression" dxfId="1682" priority="1768" stopIfTrue="1">
      <formula>IF(OR(H40="Y",H40="y"),TRUE,FALSE)=TRUE</formula>
    </cfRule>
  </conditionalFormatting>
  <conditionalFormatting sqref="H40">
    <cfRule type="cellIs" dxfId="1681" priority="1765" stopIfTrue="1" operator="equal">
      <formula>"N/A"</formula>
    </cfRule>
  </conditionalFormatting>
  <conditionalFormatting sqref="I40">
    <cfRule type="expression" dxfId="1680" priority="1762" stopIfTrue="1">
      <formula>IF(OR(I40="Y",I40="y",I40="Partial",I40="partial"),TRUE,FALSE)=FALSE</formula>
    </cfRule>
    <cfRule type="expression" dxfId="1679" priority="1763" stopIfTrue="1">
      <formula>IF(OR(I40="Partial",I40="partial"),TRUE,FALSE)=TRUE</formula>
    </cfRule>
    <cfRule type="expression" dxfId="1678" priority="1764" stopIfTrue="1">
      <formula>IF(OR(I40="Y",I40="y"),TRUE,FALSE)=TRUE</formula>
    </cfRule>
  </conditionalFormatting>
  <conditionalFormatting sqref="I40">
    <cfRule type="cellIs" dxfId="1677" priority="1761" stopIfTrue="1" operator="equal">
      <formula>"N/A"</formula>
    </cfRule>
  </conditionalFormatting>
  <conditionalFormatting sqref="J40">
    <cfRule type="expression" dxfId="1676" priority="1758" stopIfTrue="1">
      <formula>IF(OR(J40="Y",J40="y",J40="Partial",J40="partial"),TRUE,FALSE)=FALSE</formula>
    </cfRule>
    <cfRule type="expression" dxfId="1675" priority="1759" stopIfTrue="1">
      <formula>IF(OR(J40="Partial",J40="partial"),TRUE,FALSE)=TRUE</formula>
    </cfRule>
    <cfRule type="expression" dxfId="1674" priority="1760" stopIfTrue="1">
      <formula>IF(OR(J40="Y",J40="y"),TRUE,FALSE)=TRUE</formula>
    </cfRule>
  </conditionalFormatting>
  <conditionalFormatting sqref="J40">
    <cfRule type="cellIs" dxfId="1673" priority="1757" stopIfTrue="1" operator="equal">
      <formula>"N/A"</formula>
    </cfRule>
  </conditionalFormatting>
  <conditionalFormatting sqref="K40">
    <cfRule type="expression" dxfId="1672" priority="1754" stopIfTrue="1">
      <formula>IF(OR(K40="Y",K40="y",K40="Partial",K40="partial"),TRUE,FALSE)=FALSE</formula>
    </cfRule>
    <cfRule type="expression" dxfId="1671" priority="1755" stopIfTrue="1">
      <formula>IF(OR(K40="Partial",K40="partial"),TRUE,FALSE)=TRUE</formula>
    </cfRule>
    <cfRule type="expression" dxfId="1670" priority="1756" stopIfTrue="1">
      <formula>IF(OR(K40="Y",K40="y"),TRUE,FALSE)=TRUE</formula>
    </cfRule>
  </conditionalFormatting>
  <conditionalFormatting sqref="K40">
    <cfRule type="cellIs" dxfId="1669" priority="1753" stopIfTrue="1" operator="equal">
      <formula>"N/A"</formula>
    </cfRule>
  </conditionalFormatting>
  <conditionalFormatting sqref="L40">
    <cfRule type="expression" dxfId="1668" priority="1750" stopIfTrue="1">
      <formula>IF(OR(L40="Y",L40="y",L40="Partial",L40="partial"),TRUE,FALSE)=FALSE</formula>
    </cfRule>
    <cfRule type="expression" dxfId="1667" priority="1751" stopIfTrue="1">
      <formula>IF(OR(L40="Partial",L40="partial"),TRUE,FALSE)=TRUE</formula>
    </cfRule>
    <cfRule type="expression" dxfId="1666" priority="1752" stopIfTrue="1">
      <formula>IF(OR(L40="Y",L40="y"),TRUE,FALSE)=TRUE</formula>
    </cfRule>
  </conditionalFormatting>
  <conditionalFormatting sqref="L40">
    <cfRule type="cellIs" dxfId="1665" priority="1749" stopIfTrue="1" operator="equal">
      <formula>"N/A"</formula>
    </cfRule>
  </conditionalFormatting>
  <conditionalFormatting sqref="M40">
    <cfRule type="expression" dxfId="1664" priority="1746" stopIfTrue="1">
      <formula>IF(OR(M40="Y",M40="y",M40="Partial",M40="partial"),TRUE,FALSE)=FALSE</formula>
    </cfRule>
    <cfRule type="expression" dxfId="1663" priority="1747" stopIfTrue="1">
      <formula>IF(OR(M40="Partial",M40="partial"),TRUE,FALSE)=TRUE</formula>
    </cfRule>
    <cfRule type="expression" dxfId="1662" priority="1748" stopIfTrue="1">
      <formula>IF(OR(M40="Y",M40="y"),TRUE,FALSE)=TRUE</formula>
    </cfRule>
  </conditionalFormatting>
  <conditionalFormatting sqref="M40">
    <cfRule type="cellIs" dxfId="1661" priority="1745" stopIfTrue="1" operator="equal">
      <formula>"N/A"</formula>
    </cfRule>
  </conditionalFormatting>
  <conditionalFormatting sqref="N40">
    <cfRule type="expression" dxfId="1660" priority="1742" stopIfTrue="1">
      <formula>IF(OR(N40="Y",N40="y",N40="Partial",N40="partial"),TRUE,FALSE)=FALSE</formula>
    </cfRule>
    <cfRule type="expression" dxfId="1659" priority="1743" stopIfTrue="1">
      <formula>IF(OR(N40="Partial",N40="partial"),TRUE,FALSE)=TRUE</formula>
    </cfRule>
    <cfRule type="expression" dxfId="1658" priority="1744" stopIfTrue="1">
      <formula>IF(OR(N40="Y",N40="y"),TRUE,FALSE)=TRUE</formula>
    </cfRule>
  </conditionalFormatting>
  <conditionalFormatting sqref="N40">
    <cfRule type="cellIs" dxfId="1657" priority="1741" stopIfTrue="1" operator="equal">
      <formula>"N/A"</formula>
    </cfRule>
  </conditionalFormatting>
  <conditionalFormatting sqref="O40">
    <cfRule type="expression" dxfId="1656" priority="1738" stopIfTrue="1">
      <formula>IF(OR(O40="Y",O40="y",O40="Partial",O40="partial"),TRUE,FALSE)=FALSE</formula>
    </cfRule>
    <cfRule type="expression" dxfId="1655" priority="1739" stopIfTrue="1">
      <formula>IF(OR(O40="Partial",O40="partial"),TRUE,FALSE)=TRUE</formula>
    </cfRule>
    <cfRule type="expression" dxfId="1654" priority="1740" stopIfTrue="1">
      <formula>IF(OR(O40="Y",O40="y"),TRUE,FALSE)=TRUE</formula>
    </cfRule>
  </conditionalFormatting>
  <conditionalFormatting sqref="O40">
    <cfRule type="cellIs" dxfId="1653" priority="1737" stopIfTrue="1" operator="equal">
      <formula>"N/A"</formula>
    </cfRule>
  </conditionalFormatting>
  <conditionalFormatting sqref="P40">
    <cfRule type="expression" dxfId="1652" priority="1734" stopIfTrue="1">
      <formula>IF(OR(P40="Y",P40="y",P40="Partial",P40="partial"),TRUE,FALSE)=FALSE</formula>
    </cfRule>
    <cfRule type="expression" dxfId="1651" priority="1735" stopIfTrue="1">
      <formula>IF(OR(P40="Partial",P40="partial"),TRUE,FALSE)=TRUE</formula>
    </cfRule>
    <cfRule type="expression" dxfId="1650" priority="1736" stopIfTrue="1">
      <formula>IF(OR(P40="Y",P40="y"),TRUE,FALSE)=TRUE</formula>
    </cfRule>
  </conditionalFormatting>
  <conditionalFormatting sqref="P40">
    <cfRule type="cellIs" dxfId="1649" priority="1733" stopIfTrue="1" operator="equal">
      <formula>"N/A"</formula>
    </cfRule>
  </conditionalFormatting>
  <conditionalFormatting sqref="R40">
    <cfRule type="expression" dxfId="1648" priority="1726" stopIfTrue="1">
      <formula>IF(OR(R40="Y",R40="y",R40="Partial",R40="partial"),TRUE,FALSE)=FALSE</formula>
    </cfRule>
    <cfRule type="expression" dxfId="1647" priority="1727" stopIfTrue="1">
      <formula>IF(OR(R40="Partial",R40="partial"),TRUE,FALSE)=TRUE</formula>
    </cfRule>
    <cfRule type="expression" dxfId="1646" priority="1728" stopIfTrue="1">
      <formula>IF(OR(R40="Y",R40="y"),TRUE,FALSE)=TRUE</formula>
    </cfRule>
  </conditionalFormatting>
  <conditionalFormatting sqref="R40">
    <cfRule type="cellIs" dxfId="1645" priority="1725" stopIfTrue="1" operator="equal">
      <formula>"N/A"</formula>
    </cfRule>
  </conditionalFormatting>
  <conditionalFormatting sqref="S40">
    <cfRule type="expression" dxfId="1644" priority="1722" stopIfTrue="1">
      <formula>IF(OR(S40="Y",S40="y",S40="Partial",S40="partial"),TRUE,FALSE)=FALSE</formula>
    </cfRule>
    <cfRule type="expression" dxfId="1643" priority="1723" stopIfTrue="1">
      <formula>IF(OR(S40="Partial",S40="partial"),TRUE,FALSE)=TRUE</formula>
    </cfRule>
    <cfRule type="expression" dxfId="1642" priority="1724" stopIfTrue="1">
      <formula>IF(OR(S40="Y",S40="y"),TRUE,FALSE)=TRUE</formula>
    </cfRule>
  </conditionalFormatting>
  <conditionalFormatting sqref="S40">
    <cfRule type="cellIs" dxfId="1641" priority="1721" stopIfTrue="1" operator="equal">
      <formula>"N/A"</formula>
    </cfRule>
  </conditionalFormatting>
  <conditionalFormatting sqref="T40">
    <cfRule type="expression" dxfId="1640" priority="1718" stopIfTrue="1">
      <formula>IF(OR(T40="Y",T40="y",T40="Partial",T40="partial"),TRUE,FALSE)=FALSE</formula>
    </cfRule>
    <cfRule type="expression" dxfId="1639" priority="1719" stopIfTrue="1">
      <formula>IF(OR(T40="Partial",T40="partial"),TRUE,FALSE)=TRUE</formula>
    </cfRule>
    <cfRule type="expression" dxfId="1638" priority="1720" stopIfTrue="1">
      <formula>IF(OR(T40="Y",T40="y"),TRUE,FALSE)=TRUE</formula>
    </cfRule>
  </conditionalFormatting>
  <conditionalFormatting sqref="T40">
    <cfRule type="cellIs" dxfId="1637" priority="1717" stopIfTrue="1" operator="equal">
      <formula>"N/A"</formula>
    </cfRule>
  </conditionalFormatting>
  <conditionalFormatting sqref="U40">
    <cfRule type="expression" dxfId="1636" priority="1714" stopIfTrue="1">
      <formula>IF(OR(U40="Y",U40="y",U40="Partial",U40="partial"),TRUE,FALSE)=FALSE</formula>
    </cfRule>
    <cfRule type="expression" dxfId="1635" priority="1715" stopIfTrue="1">
      <formula>IF(OR(U40="Partial",U40="partial"),TRUE,FALSE)=TRUE</formula>
    </cfRule>
    <cfRule type="expression" dxfId="1634" priority="1716" stopIfTrue="1">
      <formula>IF(OR(U40="Y",U40="y"),TRUE,FALSE)=TRUE</formula>
    </cfRule>
  </conditionalFormatting>
  <conditionalFormatting sqref="U40">
    <cfRule type="cellIs" dxfId="1633" priority="1713" stopIfTrue="1" operator="equal">
      <formula>"N/A"</formula>
    </cfRule>
  </conditionalFormatting>
  <conditionalFormatting sqref="V40">
    <cfRule type="expression" dxfId="1632" priority="1710" stopIfTrue="1">
      <formula>IF(OR(V40="Y",V40="y",V40="Partial",V40="partial"),TRUE,FALSE)=FALSE</formula>
    </cfRule>
    <cfRule type="expression" dxfId="1631" priority="1711" stopIfTrue="1">
      <formula>IF(OR(V40="Partial",V40="partial"),TRUE,FALSE)=TRUE</formula>
    </cfRule>
    <cfRule type="expression" dxfId="1630" priority="1712" stopIfTrue="1">
      <formula>IF(OR(V40="Y",V40="y"),TRUE,FALSE)=TRUE</formula>
    </cfRule>
  </conditionalFormatting>
  <conditionalFormatting sqref="V40">
    <cfRule type="cellIs" dxfId="1629" priority="1709" stopIfTrue="1" operator="equal">
      <formula>"N/A"</formula>
    </cfRule>
  </conditionalFormatting>
  <conditionalFormatting sqref="W40">
    <cfRule type="expression" dxfId="1628" priority="1706" stopIfTrue="1">
      <formula>IF(OR(W40="Y",W40="y",W40="Partial",W40="partial"),TRUE,FALSE)=FALSE</formula>
    </cfRule>
    <cfRule type="expression" dxfId="1627" priority="1707" stopIfTrue="1">
      <formula>IF(OR(W40="Partial",W40="partial"),TRUE,FALSE)=TRUE</formula>
    </cfRule>
    <cfRule type="expression" dxfId="1626" priority="1708" stopIfTrue="1">
      <formula>IF(OR(W40="Y",W40="y"),TRUE,FALSE)=TRUE</formula>
    </cfRule>
  </conditionalFormatting>
  <conditionalFormatting sqref="W40">
    <cfRule type="cellIs" dxfId="1625" priority="1705" stopIfTrue="1" operator="equal">
      <formula>"N/A"</formula>
    </cfRule>
  </conditionalFormatting>
  <conditionalFormatting sqref="X40">
    <cfRule type="expression" dxfId="1624" priority="1702" stopIfTrue="1">
      <formula>IF(OR(X40="Y",X40="y",X40="Partial",X40="partial"),TRUE,FALSE)=FALSE</formula>
    </cfRule>
    <cfRule type="expression" dxfId="1623" priority="1703" stopIfTrue="1">
      <formula>IF(OR(X40="Partial",X40="partial"),TRUE,FALSE)=TRUE</formula>
    </cfRule>
    <cfRule type="expression" dxfId="1622" priority="1704" stopIfTrue="1">
      <formula>IF(OR(X40="Y",X40="y"),TRUE,FALSE)=TRUE</formula>
    </cfRule>
  </conditionalFormatting>
  <conditionalFormatting sqref="X40">
    <cfRule type="cellIs" dxfId="1621" priority="1701" stopIfTrue="1" operator="equal">
      <formula>"N/A"</formula>
    </cfRule>
  </conditionalFormatting>
  <conditionalFormatting sqref="H41">
    <cfRule type="expression" dxfId="1620" priority="1698" stopIfTrue="1">
      <formula>IF(OR(H41="Y",H41="y",H41="Partial",H41="partial"),TRUE,FALSE)=FALSE</formula>
    </cfRule>
    <cfRule type="expression" dxfId="1619" priority="1699" stopIfTrue="1">
      <formula>IF(OR(H41="Partial",H41="partial"),TRUE,FALSE)=TRUE</formula>
    </cfRule>
    <cfRule type="expression" dxfId="1618" priority="1700" stopIfTrue="1">
      <formula>IF(OR(H41="Y",H41="y"),TRUE,FALSE)=TRUE</formula>
    </cfRule>
  </conditionalFormatting>
  <conditionalFormatting sqref="H41">
    <cfRule type="cellIs" dxfId="1617" priority="1697" stopIfTrue="1" operator="equal">
      <formula>"N/A"</formula>
    </cfRule>
  </conditionalFormatting>
  <conditionalFormatting sqref="I41">
    <cfRule type="expression" dxfId="1616" priority="1694" stopIfTrue="1">
      <formula>IF(OR(I41="Y",I41="y",I41="Partial",I41="partial"),TRUE,FALSE)=FALSE</formula>
    </cfRule>
    <cfRule type="expression" dxfId="1615" priority="1695" stopIfTrue="1">
      <formula>IF(OR(I41="Partial",I41="partial"),TRUE,FALSE)=TRUE</formula>
    </cfRule>
    <cfRule type="expression" dxfId="1614" priority="1696" stopIfTrue="1">
      <formula>IF(OR(I41="Y",I41="y"),TRUE,FALSE)=TRUE</formula>
    </cfRule>
  </conditionalFormatting>
  <conditionalFormatting sqref="I41">
    <cfRule type="cellIs" dxfId="1613" priority="1693" stopIfTrue="1" operator="equal">
      <formula>"N/A"</formula>
    </cfRule>
  </conditionalFormatting>
  <conditionalFormatting sqref="J41">
    <cfRule type="expression" dxfId="1612" priority="1690" stopIfTrue="1">
      <formula>IF(OR(J41="Y",J41="y",J41="Partial",J41="partial"),TRUE,FALSE)=FALSE</formula>
    </cfRule>
    <cfRule type="expression" dxfId="1611" priority="1691" stopIfTrue="1">
      <formula>IF(OR(J41="Partial",J41="partial"),TRUE,FALSE)=TRUE</formula>
    </cfRule>
    <cfRule type="expression" dxfId="1610" priority="1692" stopIfTrue="1">
      <formula>IF(OR(J41="Y",J41="y"),TRUE,FALSE)=TRUE</formula>
    </cfRule>
  </conditionalFormatting>
  <conditionalFormatting sqref="J41">
    <cfRule type="cellIs" dxfId="1609" priority="1689" stopIfTrue="1" operator="equal">
      <formula>"N/A"</formula>
    </cfRule>
  </conditionalFormatting>
  <conditionalFormatting sqref="K41">
    <cfRule type="expression" dxfId="1608" priority="1686" stopIfTrue="1">
      <formula>IF(OR(K41="Y",K41="y",K41="Partial",K41="partial"),TRUE,FALSE)=FALSE</formula>
    </cfRule>
    <cfRule type="expression" dxfId="1607" priority="1687" stopIfTrue="1">
      <formula>IF(OR(K41="Partial",K41="partial"),TRUE,FALSE)=TRUE</formula>
    </cfRule>
    <cfRule type="expression" dxfId="1606" priority="1688" stopIfTrue="1">
      <formula>IF(OR(K41="Y",K41="y"),TRUE,FALSE)=TRUE</formula>
    </cfRule>
  </conditionalFormatting>
  <conditionalFormatting sqref="K41">
    <cfRule type="cellIs" dxfId="1605" priority="1685" stopIfTrue="1" operator="equal">
      <formula>"N/A"</formula>
    </cfRule>
  </conditionalFormatting>
  <conditionalFormatting sqref="L41">
    <cfRule type="expression" dxfId="1604" priority="1682" stopIfTrue="1">
      <formula>IF(OR(L41="Y",L41="y",L41="Partial",L41="partial"),TRUE,FALSE)=FALSE</formula>
    </cfRule>
    <cfRule type="expression" dxfId="1603" priority="1683" stopIfTrue="1">
      <formula>IF(OR(L41="Partial",L41="partial"),TRUE,FALSE)=TRUE</formula>
    </cfRule>
    <cfRule type="expression" dxfId="1602" priority="1684" stopIfTrue="1">
      <formula>IF(OR(L41="Y",L41="y"),TRUE,FALSE)=TRUE</formula>
    </cfRule>
  </conditionalFormatting>
  <conditionalFormatting sqref="L41">
    <cfRule type="cellIs" dxfId="1601" priority="1681" stopIfTrue="1" operator="equal">
      <formula>"N/A"</formula>
    </cfRule>
  </conditionalFormatting>
  <conditionalFormatting sqref="M41">
    <cfRule type="expression" dxfId="1600" priority="1678" stopIfTrue="1">
      <formula>IF(OR(M41="Y",M41="y",M41="Partial",M41="partial"),TRUE,FALSE)=FALSE</formula>
    </cfRule>
    <cfRule type="expression" dxfId="1599" priority="1679" stopIfTrue="1">
      <formula>IF(OR(M41="Partial",M41="partial"),TRUE,FALSE)=TRUE</formula>
    </cfRule>
    <cfRule type="expression" dxfId="1598" priority="1680" stopIfTrue="1">
      <formula>IF(OR(M41="Y",M41="y"),TRUE,FALSE)=TRUE</formula>
    </cfRule>
  </conditionalFormatting>
  <conditionalFormatting sqref="M41">
    <cfRule type="cellIs" dxfId="1597" priority="1677" stopIfTrue="1" operator="equal">
      <formula>"N/A"</formula>
    </cfRule>
  </conditionalFormatting>
  <conditionalFormatting sqref="N41">
    <cfRule type="expression" dxfId="1596" priority="1674" stopIfTrue="1">
      <formula>IF(OR(N41="Y",N41="y",N41="Partial",N41="partial"),TRUE,FALSE)=FALSE</formula>
    </cfRule>
    <cfRule type="expression" dxfId="1595" priority="1675" stopIfTrue="1">
      <formula>IF(OR(N41="Partial",N41="partial"),TRUE,FALSE)=TRUE</formula>
    </cfRule>
    <cfRule type="expression" dxfId="1594" priority="1676" stopIfTrue="1">
      <formula>IF(OR(N41="Y",N41="y"),TRUE,FALSE)=TRUE</formula>
    </cfRule>
  </conditionalFormatting>
  <conditionalFormatting sqref="N41">
    <cfRule type="cellIs" dxfId="1593" priority="1673" stopIfTrue="1" operator="equal">
      <formula>"N/A"</formula>
    </cfRule>
  </conditionalFormatting>
  <conditionalFormatting sqref="O41">
    <cfRule type="expression" dxfId="1592" priority="1670" stopIfTrue="1">
      <formula>IF(OR(O41="Y",O41="y",O41="Partial",O41="partial"),TRUE,FALSE)=FALSE</formula>
    </cfRule>
    <cfRule type="expression" dxfId="1591" priority="1671" stopIfTrue="1">
      <formula>IF(OR(O41="Partial",O41="partial"),TRUE,FALSE)=TRUE</formula>
    </cfRule>
    <cfRule type="expression" dxfId="1590" priority="1672" stopIfTrue="1">
      <formula>IF(OR(O41="Y",O41="y"),TRUE,FALSE)=TRUE</formula>
    </cfRule>
  </conditionalFormatting>
  <conditionalFormatting sqref="O41">
    <cfRule type="cellIs" dxfId="1589" priority="1669" stopIfTrue="1" operator="equal">
      <formula>"N/A"</formula>
    </cfRule>
  </conditionalFormatting>
  <conditionalFormatting sqref="P41">
    <cfRule type="expression" dxfId="1588" priority="1666" stopIfTrue="1">
      <formula>IF(OR(P41="Y",P41="y",P41="Partial",P41="partial"),TRUE,FALSE)=FALSE</formula>
    </cfRule>
    <cfRule type="expression" dxfId="1587" priority="1667" stopIfTrue="1">
      <formula>IF(OR(P41="Partial",P41="partial"),TRUE,FALSE)=TRUE</formula>
    </cfRule>
    <cfRule type="expression" dxfId="1586" priority="1668" stopIfTrue="1">
      <formula>IF(OR(P41="Y",P41="y"),TRUE,FALSE)=TRUE</formula>
    </cfRule>
  </conditionalFormatting>
  <conditionalFormatting sqref="P41">
    <cfRule type="cellIs" dxfId="1585" priority="1665" stopIfTrue="1" operator="equal">
      <formula>"N/A"</formula>
    </cfRule>
  </conditionalFormatting>
  <conditionalFormatting sqref="R41">
    <cfRule type="expression" dxfId="1584" priority="1658" stopIfTrue="1">
      <formula>IF(OR(R41="Y",R41="y",R41="Partial",R41="partial"),TRUE,FALSE)=FALSE</formula>
    </cfRule>
    <cfRule type="expression" dxfId="1583" priority="1659" stopIfTrue="1">
      <formula>IF(OR(R41="Partial",R41="partial"),TRUE,FALSE)=TRUE</formula>
    </cfRule>
    <cfRule type="expression" dxfId="1582" priority="1660" stopIfTrue="1">
      <formula>IF(OR(R41="Y",R41="y"),TRUE,FALSE)=TRUE</formula>
    </cfRule>
  </conditionalFormatting>
  <conditionalFormatting sqref="R41">
    <cfRule type="cellIs" dxfId="1581" priority="1657" stopIfTrue="1" operator="equal">
      <formula>"N/A"</formula>
    </cfRule>
  </conditionalFormatting>
  <conditionalFormatting sqref="S41">
    <cfRule type="expression" dxfId="1580" priority="1654" stopIfTrue="1">
      <formula>IF(OR(S41="Y",S41="y",S41="Partial",S41="partial"),TRUE,FALSE)=FALSE</formula>
    </cfRule>
    <cfRule type="expression" dxfId="1579" priority="1655" stopIfTrue="1">
      <formula>IF(OR(S41="Partial",S41="partial"),TRUE,FALSE)=TRUE</formula>
    </cfRule>
    <cfRule type="expression" dxfId="1578" priority="1656" stopIfTrue="1">
      <formula>IF(OR(S41="Y",S41="y"),TRUE,FALSE)=TRUE</formula>
    </cfRule>
  </conditionalFormatting>
  <conditionalFormatting sqref="S41">
    <cfRule type="cellIs" dxfId="1577" priority="1653" stopIfTrue="1" operator="equal">
      <formula>"N/A"</formula>
    </cfRule>
  </conditionalFormatting>
  <conditionalFormatting sqref="T41">
    <cfRule type="expression" dxfId="1576" priority="1650" stopIfTrue="1">
      <formula>IF(OR(T41="Y",T41="y",T41="Partial",T41="partial"),TRUE,FALSE)=FALSE</formula>
    </cfRule>
    <cfRule type="expression" dxfId="1575" priority="1651" stopIfTrue="1">
      <formula>IF(OR(T41="Partial",T41="partial"),TRUE,FALSE)=TRUE</formula>
    </cfRule>
    <cfRule type="expression" dxfId="1574" priority="1652" stopIfTrue="1">
      <formula>IF(OR(T41="Y",T41="y"),TRUE,FALSE)=TRUE</formula>
    </cfRule>
  </conditionalFormatting>
  <conditionalFormatting sqref="T41">
    <cfRule type="cellIs" dxfId="1573" priority="1649" stopIfTrue="1" operator="equal">
      <formula>"N/A"</formula>
    </cfRule>
  </conditionalFormatting>
  <conditionalFormatting sqref="U41">
    <cfRule type="expression" dxfId="1572" priority="1646" stopIfTrue="1">
      <formula>IF(OR(U41="Y",U41="y",U41="Partial",U41="partial"),TRUE,FALSE)=FALSE</formula>
    </cfRule>
    <cfRule type="expression" dxfId="1571" priority="1647" stopIfTrue="1">
      <formula>IF(OR(U41="Partial",U41="partial"),TRUE,FALSE)=TRUE</formula>
    </cfRule>
    <cfRule type="expression" dxfId="1570" priority="1648" stopIfTrue="1">
      <formula>IF(OR(U41="Y",U41="y"),TRUE,FALSE)=TRUE</formula>
    </cfRule>
  </conditionalFormatting>
  <conditionalFormatting sqref="U41">
    <cfRule type="cellIs" dxfId="1569" priority="1645" stopIfTrue="1" operator="equal">
      <formula>"N/A"</formula>
    </cfRule>
  </conditionalFormatting>
  <conditionalFormatting sqref="V41">
    <cfRule type="expression" dxfId="1568" priority="1642" stopIfTrue="1">
      <formula>IF(OR(V41="Y",V41="y",V41="Partial",V41="partial"),TRUE,FALSE)=FALSE</formula>
    </cfRule>
    <cfRule type="expression" dxfId="1567" priority="1643" stopIfTrue="1">
      <formula>IF(OR(V41="Partial",V41="partial"),TRUE,FALSE)=TRUE</formula>
    </cfRule>
    <cfRule type="expression" dxfId="1566" priority="1644" stopIfTrue="1">
      <formula>IF(OR(V41="Y",V41="y"),TRUE,FALSE)=TRUE</formula>
    </cfRule>
  </conditionalFormatting>
  <conditionalFormatting sqref="V41">
    <cfRule type="cellIs" dxfId="1565" priority="1641" stopIfTrue="1" operator="equal">
      <formula>"N/A"</formula>
    </cfRule>
  </conditionalFormatting>
  <conditionalFormatting sqref="W41">
    <cfRule type="expression" dxfId="1564" priority="1638" stopIfTrue="1">
      <formula>IF(OR(W41="Y",W41="y",W41="Partial",W41="partial"),TRUE,FALSE)=FALSE</formula>
    </cfRule>
    <cfRule type="expression" dxfId="1563" priority="1639" stopIfTrue="1">
      <formula>IF(OR(W41="Partial",W41="partial"),TRUE,FALSE)=TRUE</formula>
    </cfRule>
    <cfRule type="expression" dxfId="1562" priority="1640" stopIfTrue="1">
      <formula>IF(OR(W41="Y",W41="y"),TRUE,FALSE)=TRUE</formula>
    </cfRule>
  </conditionalFormatting>
  <conditionalFormatting sqref="W41">
    <cfRule type="cellIs" dxfId="1561" priority="1637" stopIfTrue="1" operator="equal">
      <formula>"N/A"</formula>
    </cfRule>
  </conditionalFormatting>
  <conditionalFormatting sqref="X41">
    <cfRule type="expression" dxfId="1560" priority="1634" stopIfTrue="1">
      <formula>IF(OR(X41="Y",X41="y",X41="Partial",X41="partial"),TRUE,FALSE)=FALSE</formula>
    </cfRule>
    <cfRule type="expression" dxfId="1559" priority="1635" stopIfTrue="1">
      <formula>IF(OR(X41="Partial",X41="partial"),TRUE,FALSE)=TRUE</formula>
    </cfRule>
    <cfRule type="expression" dxfId="1558" priority="1636" stopIfTrue="1">
      <formula>IF(OR(X41="Y",X41="y"),TRUE,FALSE)=TRUE</formula>
    </cfRule>
  </conditionalFormatting>
  <conditionalFormatting sqref="X41">
    <cfRule type="cellIs" dxfId="1557" priority="1633" stopIfTrue="1" operator="equal">
      <formula>"N/A"</formula>
    </cfRule>
  </conditionalFormatting>
  <conditionalFormatting sqref="H42">
    <cfRule type="expression" dxfId="1556" priority="1630" stopIfTrue="1">
      <formula>IF(OR(H42="Y",H42="y",H42="Partial",H42="partial"),TRUE,FALSE)=FALSE</formula>
    </cfRule>
    <cfRule type="expression" dxfId="1555" priority="1631" stopIfTrue="1">
      <formula>IF(OR(H42="Partial",H42="partial"),TRUE,FALSE)=TRUE</formula>
    </cfRule>
    <cfRule type="expression" dxfId="1554" priority="1632" stopIfTrue="1">
      <formula>IF(OR(H42="Y",H42="y"),TRUE,FALSE)=TRUE</formula>
    </cfRule>
  </conditionalFormatting>
  <conditionalFormatting sqref="H42">
    <cfRule type="cellIs" dxfId="1553" priority="1629" stopIfTrue="1" operator="equal">
      <formula>"N/A"</formula>
    </cfRule>
  </conditionalFormatting>
  <conditionalFormatting sqref="I42">
    <cfRule type="expression" dxfId="1552" priority="1626" stopIfTrue="1">
      <formula>IF(OR(I42="Y",I42="y",I42="Partial",I42="partial"),TRUE,FALSE)=FALSE</formula>
    </cfRule>
    <cfRule type="expression" dxfId="1551" priority="1627" stopIfTrue="1">
      <formula>IF(OR(I42="Partial",I42="partial"),TRUE,FALSE)=TRUE</formula>
    </cfRule>
    <cfRule type="expression" dxfId="1550" priority="1628" stopIfTrue="1">
      <formula>IF(OR(I42="Y",I42="y"),TRUE,FALSE)=TRUE</formula>
    </cfRule>
  </conditionalFormatting>
  <conditionalFormatting sqref="I42">
    <cfRule type="cellIs" dxfId="1549" priority="1625" stopIfTrue="1" operator="equal">
      <formula>"N/A"</formula>
    </cfRule>
  </conditionalFormatting>
  <conditionalFormatting sqref="J42">
    <cfRule type="expression" dxfId="1548" priority="1622" stopIfTrue="1">
      <formula>IF(OR(J42="Y",J42="y",J42="Partial",J42="partial"),TRUE,FALSE)=FALSE</formula>
    </cfRule>
    <cfRule type="expression" dxfId="1547" priority="1623" stopIfTrue="1">
      <formula>IF(OR(J42="Partial",J42="partial"),TRUE,FALSE)=TRUE</formula>
    </cfRule>
    <cfRule type="expression" dxfId="1546" priority="1624" stopIfTrue="1">
      <formula>IF(OR(J42="Y",J42="y"),TRUE,FALSE)=TRUE</formula>
    </cfRule>
  </conditionalFormatting>
  <conditionalFormatting sqref="J42">
    <cfRule type="cellIs" dxfId="1545" priority="1621" stopIfTrue="1" operator="equal">
      <formula>"N/A"</formula>
    </cfRule>
  </conditionalFormatting>
  <conditionalFormatting sqref="K42">
    <cfRule type="expression" dxfId="1544" priority="1618" stopIfTrue="1">
      <formula>IF(OR(K42="Y",K42="y",K42="Partial",K42="partial"),TRUE,FALSE)=FALSE</formula>
    </cfRule>
    <cfRule type="expression" dxfId="1543" priority="1619" stopIfTrue="1">
      <formula>IF(OR(K42="Partial",K42="partial"),TRUE,FALSE)=TRUE</formula>
    </cfRule>
    <cfRule type="expression" dxfId="1542" priority="1620" stopIfTrue="1">
      <formula>IF(OR(K42="Y",K42="y"),TRUE,FALSE)=TRUE</formula>
    </cfRule>
  </conditionalFormatting>
  <conditionalFormatting sqref="K42">
    <cfRule type="cellIs" dxfId="1541" priority="1617" stopIfTrue="1" operator="equal">
      <formula>"N/A"</formula>
    </cfRule>
  </conditionalFormatting>
  <conditionalFormatting sqref="L42">
    <cfRule type="expression" dxfId="1540" priority="1614" stopIfTrue="1">
      <formula>IF(OR(L42="Y",L42="y",L42="Partial",L42="partial"),TRUE,FALSE)=FALSE</formula>
    </cfRule>
    <cfRule type="expression" dxfId="1539" priority="1615" stopIfTrue="1">
      <formula>IF(OR(L42="Partial",L42="partial"),TRUE,FALSE)=TRUE</formula>
    </cfRule>
    <cfRule type="expression" dxfId="1538" priority="1616" stopIfTrue="1">
      <formula>IF(OR(L42="Y",L42="y"),TRUE,FALSE)=TRUE</formula>
    </cfRule>
  </conditionalFormatting>
  <conditionalFormatting sqref="L42">
    <cfRule type="cellIs" dxfId="1537" priority="1613" stopIfTrue="1" operator="equal">
      <formula>"N/A"</formula>
    </cfRule>
  </conditionalFormatting>
  <conditionalFormatting sqref="M42">
    <cfRule type="expression" dxfId="1536" priority="1610" stopIfTrue="1">
      <formula>IF(OR(M42="Y",M42="y",M42="Partial",M42="partial"),TRUE,FALSE)=FALSE</formula>
    </cfRule>
    <cfRule type="expression" dxfId="1535" priority="1611" stopIfTrue="1">
      <formula>IF(OR(M42="Partial",M42="partial"),TRUE,FALSE)=TRUE</formula>
    </cfRule>
    <cfRule type="expression" dxfId="1534" priority="1612" stopIfTrue="1">
      <formula>IF(OR(M42="Y",M42="y"),TRUE,FALSE)=TRUE</formula>
    </cfRule>
  </conditionalFormatting>
  <conditionalFormatting sqref="M42">
    <cfRule type="cellIs" dxfId="1533" priority="1609" stopIfTrue="1" operator="equal">
      <formula>"N/A"</formula>
    </cfRule>
  </conditionalFormatting>
  <conditionalFormatting sqref="N42">
    <cfRule type="expression" dxfId="1532" priority="1606" stopIfTrue="1">
      <formula>IF(OR(N42="Y",N42="y",N42="Partial",N42="partial"),TRUE,FALSE)=FALSE</formula>
    </cfRule>
    <cfRule type="expression" dxfId="1531" priority="1607" stopIfTrue="1">
      <formula>IF(OR(N42="Partial",N42="partial"),TRUE,FALSE)=TRUE</formula>
    </cfRule>
    <cfRule type="expression" dxfId="1530" priority="1608" stopIfTrue="1">
      <formula>IF(OR(N42="Y",N42="y"),TRUE,FALSE)=TRUE</formula>
    </cfRule>
  </conditionalFormatting>
  <conditionalFormatting sqref="N42">
    <cfRule type="cellIs" dxfId="1529" priority="1605" stopIfTrue="1" operator="equal">
      <formula>"N/A"</formula>
    </cfRule>
  </conditionalFormatting>
  <conditionalFormatting sqref="O42">
    <cfRule type="expression" dxfId="1528" priority="1602" stopIfTrue="1">
      <formula>IF(OR(O42="Y",O42="y",O42="Partial",O42="partial"),TRUE,FALSE)=FALSE</formula>
    </cfRule>
    <cfRule type="expression" dxfId="1527" priority="1603" stopIfTrue="1">
      <formula>IF(OR(O42="Partial",O42="partial"),TRUE,FALSE)=TRUE</formula>
    </cfRule>
    <cfRule type="expression" dxfId="1526" priority="1604" stopIfTrue="1">
      <formula>IF(OR(O42="Y",O42="y"),TRUE,FALSE)=TRUE</formula>
    </cfRule>
  </conditionalFormatting>
  <conditionalFormatting sqref="O42">
    <cfRule type="cellIs" dxfId="1525" priority="1601" stopIfTrue="1" operator="equal">
      <formula>"N/A"</formula>
    </cfRule>
  </conditionalFormatting>
  <conditionalFormatting sqref="P42">
    <cfRule type="expression" dxfId="1524" priority="1598" stopIfTrue="1">
      <formula>IF(OR(P42="Y",P42="y",P42="Partial",P42="partial"),TRUE,FALSE)=FALSE</formula>
    </cfRule>
    <cfRule type="expression" dxfId="1523" priority="1599" stopIfTrue="1">
      <formula>IF(OR(P42="Partial",P42="partial"),TRUE,FALSE)=TRUE</formula>
    </cfRule>
    <cfRule type="expression" dxfId="1522" priority="1600" stopIfTrue="1">
      <formula>IF(OR(P42="Y",P42="y"),TRUE,FALSE)=TRUE</formula>
    </cfRule>
  </conditionalFormatting>
  <conditionalFormatting sqref="P42">
    <cfRule type="cellIs" dxfId="1521" priority="1597" stopIfTrue="1" operator="equal">
      <formula>"N/A"</formula>
    </cfRule>
  </conditionalFormatting>
  <conditionalFormatting sqref="R42">
    <cfRule type="expression" dxfId="1520" priority="1590" stopIfTrue="1">
      <formula>IF(OR(R42="Y",R42="y",R42="Partial",R42="partial"),TRUE,FALSE)=FALSE</formula>
    </cfRule>
    <cfRule type="expression" dxfId="1519" priority="1591" stopIfTrue="1">
      <formula>IF(OR(R42="Partial",R42="partial"),TRUE,FALSE)=TRUE</formula>
    </cfRule>
    <cfRule type="expression" dxfId="1518" priority="1592" stopIfTrue="1">
      <formula>IF(OR(R42="Y",R42="y"),TRUE,FALSE)=TRUE</formula>
    </cfRule>
  </conditionalFormatting>
  <conditionalFormatting sqref="R42">
    <cfRule type="cellIs" dxfId="1517" priority="1589" stopIfTrue="1" operator="equal">
      <formula>"N/A"</formula>
    </cfRule>
  </conditionalFormatting>
  <conditionalFormatting sqref="S42">
    <cfRule type="expression" dxfId="1516" priority="1586" stopIfTrue="1">
      <formula>IF(OR(S42="Y",S42="y",S42="Partial",S42="partial"),TRUE,FALSE)=FALSE</formula>
    </cfRule>
    <cfRule type="expression" dxfId="1515" priority="1587" stopIfTrue="1">
      <formula>IF(OR(S42="Partial",S42="partial"),TRUE,FALSE)=TRUE</formula>
    </cfRule>
    <cfRule type="expression" dxfId="1514" priority="1588" stopIfTrue="1">
      <formula>IF(OR(S42="Y",S42="y"),TRUE,FALSE)=TRUE</formula>
    </cfRule>
  </conditionalFormatting>
  <conditionalFormatting sqref="S42">
    <cfRule type="cellIs" dxfId="1513" priority="1585" stopIfTrue="1" operator="equal">
      <formula>"N/A"</formula>
    </cfRule>
  </conditionalFormatting>
  <conditionalFormatting sqref="T42">
    <cfRule type="expression" dxfId="1512" priority="1582" stopIfTrue="1">
      <formula>IF(OR(T42="Y",T42="y",T42="Partial",T42="partial"),TRUE,FALSE)=FALSE</formula>
    </cfRule>
    <cfRule type="expression" dxfId="1511" priority="1583" stopIfTrue="1">
      <formula>IF(OR(T42="Partial",T42="partial"),TRUE,FALSE)=TRUE</formula>
    </cfRule>
    <cfRule type="expression" dxfId="1510" priority="1584" stopIfTrue="1">
      <formula>IF(OR(T42="Y",T42="y"),TRUE,FALSE)=TRUE</formula>
    </cfRule>
  </conditionalFormatting>
  <conditionalFormatting sqref="T42">
    <cfRule type="cellIs" dxfId="1509" priority="1581" stopIfTrue="1" operator="equal">
      <formula>"N/A"</formula>
    </cfRule>
  </conditionalFormatting>
  <conditionalFormatting sqref="U42">
    <cfRule type="expression" dxfId="1508" priority="1578" stopIfTrue="1">
      <formula>IF(OR(U42="Y",U42="y",U42="Partial",U42="partial"),TRUE,FALSE)=FALSE</formula>
    </cfRule>
    <cfRule type="expression" dxfId="1507" priority="1579" stopIfTrue="1">
      <formula>IF(OR(U42="Partial",U42="partial"),TRUE,FALSE)=TRUE</formula>
    </cfRule>
    <cfRule type="expression" dxfId="1506" priority="1580" stopIfTrue="1">
      <formula>IF(OR(U42="Y",U42="y"),TRUE,FALSE)=TRUE</formula>
    </cfRule>
  </conditionalFormatting>
  <conditionalFormatting sqref="U42">
    <cfRule type="cellIs" dxfId="1505" priority="1577" stopIfTrue="1" operator="equal">
      <formula>"N/A"</formula>
    </cfRule>
  </conditionalFormatting>
  <conditionalFormatting sqref="V42">
    <cfRule type="expression" dxfId="1504" priority="1574" stopIfTrue="1">
      <formula>IF(OR(V42="Y",V42="y",V42="Partial",V42="partial"),TRUE,FALSE)=FALSE</formula>
    </cfRule>
    <cfRule type="expression" dxfId="1503" priority="1575" stopIfTrue="1">
      <formula>IF(OR(V42="Partial",V42="partial"),TRUE,FALSE)=TRUE</formula>
    </cfRule>
    <cfRule type="expression" dxfId="1502" priority="1576" stopIfTrue="1">
      <formula>IF(OR(V42="Y",V42="y"),TRUE,FALSE)=TRUE</formula>
    </cfRule>
  </conditionalFormatting>
  <conditionalFormatting sqref="V42">
    <cfRule type="cellIs" dxfId="1501" priority="1573" stopIfTrue="1" operator="equal">
      <formula>"N/A"</formula>
    </cfRule>
  </conditionalFormatting>
  <conditionalFormatting sqref="W42">
    <cfRule type="expression" dxfId="1500" priority="1570" stopIfTrue="1">
      <formula>IF(OR(W42="Y",W42="y",W42="Partial",W42="partial"),TRUE,FALSE)=FALSE</formula>
    </cfRule>
    <cfRule type="expression" dxfId="1499" priority="1571" stopIfTrue="1">
      <formula>IF(OR(W42="Partial",W42="partial"),TRUE,FALSE)=TRUE</formula>
    </cfRule>
    <cfRule type="expression" dxfId="1498" priority="1572" stopIfTrue="1">
      <formula>IF(OR(W42="Y",W42="y"),TRUE,FALSE)=TRUE</formula>
    </cfRule>
  </conditionalFormatting>
  <conditionalFormatting sqref="W42">
    <cfRule type="cellIs" dxfId="1497" priority="1569" stopIfTrue="1" operator="equal">
      <formula>"N/A"</formula>
    </cfRule>
  </conditionalFormatting>
  <conditionalFormatting sqref="X42">
    <cfRule type="expression" dxfId="1496" priority="1566" stopIfTrue="1">
      <formula>IF(OR(X42="Y",X42="y",X42="Partial",X42="partial"),TRUE,FALSE)=FALSE</formula>
    </cfRule>
    <cfRule type="expression" dxfId="1495" priority="1567" stopIfTrue="1">
      <formula>IF(OR(X42="Partial",X42="partial"),TRUE,FALSE)=TRUE</formula>
    </cfRule>
    <cfRule type="expression" dxfId="1494" priority="1568" stopIfTrue="1">
      <formula>IF(OR(X42="Y",X42="y"),TRUE,FALSE)=TRUE</formula>
    </cfRule>
  </conditionalFormatting>
  <conditionalFormatting sqref="X42">
    <cfRule type="cellIs" dxfId="1493" priority="1565" stopIfTrue="1" operator="equal">
      <formula>"N/A"</formula>
    </cfRule>
  </conditionalFormatting>
  <conditionalFormatting sqref="H43">
    <cfRule type="expression" dxfId="1492" priority="1562" stopIfTrue="1">
      <formula>IF(OR(H43="Y",H43="y",H43="Partial",H43="partial"),TRUE,FALSE)=FALSE</formula>
    </cfRule>
    <cfRule type="expression" dxfId="1491" priority="1563" stopIfTrue="1">
      <formula>IF(OR(H43="Partial",H43="partial"),TRUE,FALSE)=TRUE</formula>
    </cfRule>
    <cfRule type="expression" dxfId="1490" priority="1564" stopIfTrue="1">
      <formula>IF(OR(H43="Y",H43="y"),TRUE,FALSE)=TRUE</formula>
    </cfRule>
  </conditionalFormatting>
  <conditionalFormatting sqref="H43">
    <cfRule type="cellIs" dxfId="1489" priority="1561" stopIfTrue="1" operator="equal">
      <formula>"N/A"</formula>
    </cfRule>
  </conditionalFormatting>
  <conditionalFormatting sqref="I43">
    <cfRule type="expression" dxfId="1488" priority="1558" stopIfTrue="1">
      <formula>IF(OR(I43="Y",I43="y",I43="Partial",I43="partial"),TRUE,FALSE)=FALSE</formula>
    </cfRule>
    <cfRule type="expression" dxfId="1487" priority="1559" stopIfTrue="1">
      <formula>IF(OR(I43="Partial",I43="partial"),TRUE,FALSE)=TRUE</formula>
    </cfRule>
    <cfRule type="expression" dxfId="1486" priority="1560" stopIfTrue="1">
      <formula>IF(OR(I43="Y",I43="y"),TRUE,FALSE)=TRUE</formula>
    </cfRule>
  </conditionalFormatting>
  <conditionalFormatting sqref="I43">
    <cfRule type="cellIs" dxfId="1485" priority="1557" stopIfTrue="1" operator="equal">
      <formula>"N/A"</formula>
    </cfRule>
  </conditionalFormatting>
  <conditionalFormatting sqref="J43">
    <cfRule type="expression" dxfId="1484" priority="1554" stopIfTrue="1">
      <formula>IF(OR(J43="Y",J43="y",J43="Partial",J43="partial"),TRUE,FALSE)=FALSE</formula>
    </cfRule>
    <cfRule type="expression" dxfId="1483" priority="1555" stopIfTrue="1">
      <formula>IF(OR(J43="Partial",J43="partial"),TRUE,FALSE)=TRUE</formula>
    </cfRule>
    <cfRule type="expression" dxfId="1482" priority="1556" stopIfTrue="1">
      <formula>IF(OR(J43="Y",J43="y"),TRUE,FALSE)=TRUE</formula>
    </cfRule>
  </conditionalFormatting>
  <conditionalFormatting sqref="J43">
    <cfRule type="cellIs" dxfId="1481" priority="1553" stopIfTrue="1" operator="equal">
      <formula>"N/A"</formula>
    </cfRule>
  </conditionalFormatting>
  <conditionalFormatting sqref="K43">
    <cfRule type="expression" dxfId="1480" priority="1550" stopIfTrue="1">
      <formula>IF(OR(K43="Y",K43="y",K43="Partial",K43="partial"),TRUE,FALSE)=FALSE</formula>
    </cfRule>
    <cfRule type="expression" dxfId="1479" priority="1551" stopIfTrue="1">
      <formula>IF(OR(K43="Partial",K43="partial"),TRUE,FALSE)=TRUE</formula>
    </cfRule>
    <cfRule type="expression" dxfId="1478" priority="1552" stopIfTrue="1">
      <formula>IF(OR(K43="Y",K43="y"),TRUE,FALSE)=TRUE</formula>
    </cfRule>
  </conditionalFormatting>
  <conditionalFormatting sqref="K43">
    <cfRule type="cellIs" dxfId="1477" priority="1549" stopIfTrue="1" operator="equal">
      <formula>"N/A"</formula>
    </cfRule>
  </conditionalFormatting>
  <conditionalFormatting sqref="L43">
    <cfRule type="expression" dxfId="1476" priority="1546" stopIfTrue="1">
      <formula>IF(OR(L43="Y",L43="y",L43="Partial",L43="partial"),TRUE,FALSE)=FALSE</formula>
    </cfRule>
    <cfRule type="expression" dxfId="1475" priority="1547" stopIfTrue="1">
      <formula>IF(OR(L43="Partial",L43="partial"),TRUE,FALSE)=TRUE</formula>
    </cfRule>
    <cfRule type="expression" dxfId="1474" priority="1548" stopIfTrue="1">
      <formula>IF(OR(L43="Y",L43="y"),TRUE,FALSE)=TRUE</formula>
    </cfRule>
  </conditionalFormatting>
  <conditionalFormatting sqref="L43">
    <cfRule type="cellIs" dxfId="1473" priority="1545" stopIfTrue="1" operator="equal">
      <formula>"N/A"</formula>
    </cfRule>
  </conditionalFormatting>
  <conditionalFormatting sqref="M43">
    <cfRule type="expression" dxfId="1472" priority="1542" stopIfTrue="1">
      <formula>IF(OR(M43="Y",M43="y",M43="Partial",M43="partial"),TRUE,FALSE)=FALSE</formula>
    </cfRule>
    <cfRule type="expression" dxfId="1471" priority="1543" stopIfTrue="1">
      <formula>IF(OR(M43="Partial",M43="partial"),TRUE,FALSE)=TRUE</formula>
    </cfRule>
    <cfRule type="expression" dxfId="1470" priority="1544" stopIfTrue="1">
      <formula>IF(OR(M43="Y",M43="y"),TRUE,FALSE)=TRUE</formula>
    </cfRule>
  </conditionalFormatting>
  <conditionalFormatting sqref="M43">
    <cfRule type="cellIs" dxfId="1469" priority="1541" stopIfTrue="1" operator="equal">
      <formula>"N/A"</formula>
    </cfRule>
  </conditionalFormatting>
  <conditionalFormatting sqref="N43">
    <cfRule type="expression" dxfId="1468" priority="1538" stopIfTrue="1">
      <formula>IF(OR(N43="Y",N43="y",N43="Partial",N43="partial"),TRUE,FALSE)=FALSE</formula>
    </cfRule>
    <cfRule type="expression" dxfId="1467" priority="1539" stopIfTrue="1">
      <formula>IF(OR(N43="Partial",N43="partial"),TRUE,FALSE)=TRUE</formula>
    </cfRule>
    <cfRule type="expression" dxfId="1466" priority="1540" stopIfTrue="1">
      <formula>IF(OR(N43="Y",N43="y"),TRUE,FALSE)=TRUE</formula>
    </cfRule>
  </conditionalFormatting>
  <conditionalFormatting sqref="N43">
    <cfRule type="cellIs" dxfId="1465" priority="1537" stopIfTrue="1" operator="equal">
      <formula>"N/A"</formula>
    </cfRule>
  </conditionalFormatting>
  <conditionalFormatting sqref="O43">
    <cfRule type="expression" dxfId="1464" priority="1534" stopIfTrue="1">
      <formula>IF(OR(O43="Y",O43="y",O43="Partial",O43="partial"),TRUE,FALSE)=FALSE</formula>
    </cfRule>
    <cfRule type="expression" dxfId="1463" priority="1535" stopIfTrue="1">
      <formula>IF(OR(O43="Partial",O43="partial"),TRUE,FALSE)=TRUE</formula>
    </cfRule>
    <cfRule type="expression" dxfId="1462" priority="1536" stopIfTrue="1">
      <formula>IF(OR(O43="Y",O43="y"),TRUE,FALSE)=TRUE</formula>
    </cfRule>
  </conditionalFormatting>
  <conditionalFormatting sqref="O43">
    <cfRule type="cellIs" dxfId="1461" priority="1533" stopIfTrue="1" operator="equal">
      <formula>"N/A"</formula>
    </cfRule>
  </conditionalFormatting>
  <conditionalFormatting sqref="P43">
    <cfRule type="expression" dxfId="1460" priority="1530" stopIfTrue="1">
      <formula>IF(OR(P43="Y",P43="y",P43="Partial",P43="partial"),TRUE,FALSE)=FALSE</formula>
    </cfRule>
    <cfRule type="expression" dxfId="1459" priority="1531" stopIfTrue="1">
      <formula>IF(OR(P43="Partial",P43="partial"),TRUE,FALSE)=TRUE</formula>
    </cfRule>
    <cfRule type="expression" dxfId="1458" priority="1532" stopIfTrue="1">
      <formula>IF(OR(P43="Y",P43="y"),TRUE,FALSE)=TRUE</formula>
    </cfRule>
  </conditionalFormatting>
  <conditionalFormatting sqref="P43">
    <cfRule type="cellIs" dxfId="1457" priority="1529" stopIfTrue="1" operator="equal">
      <formula>"N/A"</formula>
    </cfRule>
  </conditionalFormatting>
  <conditionalFormatting sqref="R43">
    <cfRule type="expression" dxfId="1456" priority="1522" stopIfTrue="1">
      <formula>IF(OR(R43="Y",R43="y",R43="Partial",R43="partial"),TRUE,FALSE)=FALSE</formula>
    </cfRule>
    <cfRule type="expression" dxfId="1455" priority="1523" stopIfTrue="1">
      <formula>IF(OR(R43="Partial",R43="partial"),TRUE,FALSE)=TRUE</formula>
    </cfRule>
    <cfRule type="expression" dxfId="1454" priority="1524" stopIfTrue="1">
      <formula>IF(OR(R43="Y",R43="y"),TRUE,FALSE)=TRUE</formula>
    </cfRule>
  </conditionalFormatting>
  <conditionalFormatting sqref="R43">
    <cfRule type="cellIs" dxfId="1453" priority="1521" stopIfTrue="1" operator="equal">
      <formula>"N/A"</formula>
    </cfRule>
  </conditionalFormatting>
  <conditionalFormatting sqref="S43">
    <cfRule type="expression" dxfId="1452" priority="1518" stopIfTrue="1">
      <formula>IF(OR(S43="Y",S43="y",S43="Partial",S43="partial"),TRUE,FALSE)=FALSE</formula>
    </cfRule>
    <cfRule type="expression" dxfId="1451" priority="1519" stopIfTrue="1">
      <formula>IF(OR(S43="Partial",S43="partial"),TRUE,FALSE)=TRUE</formula>
    </cfRule>
    <cfRule type="expression" dxfId="1450" priority="1520" stopIfTrue="1">
      <formula>IF(OR(S43="Y",S43="y"),TRUE,FALSE)=TRUE</formula>
    </cfRule>
  </conditionalFormatting>
  <conditionalFormatting sqref="S43">
    <cfRule type="cellIs" dxfId="1449" priority="1517" stopIfTrue="1" operator="equal">
      <formula>"N/A"</formula>
    </cfRule>
  </conditionalFormatting>
  <conditionalFormatting sqref="T43">
    <cfRule type="expression" dxfId="1448" priority="1514" stopIfTrue="1">
      <formula>IF(OR(T43="Y",T43="y",T43="Partial",T43="partial"),TRUE,FALSE)=FALSE</formula>
    </cfRule>
    <cfRule type="expression" dxfId="1447" priority="1515" stopIfTrue="1">
      <formula>IF(OR(T43="Partial",T43="partial"),TRUE,FALSE)=TRUE</formula>
    </cfRule>
    <cfRule type="expression" dxfId="1446" priority="1516" stopIfTrue="1">
      <formula>IF(OR(T43="Y",T43="y"),TRUE,FALSE)=TRUE</formula>
    </cfRule>
  </conditionalFormatting>
  <conditionalFormatting sqref="T43">
    <cfRule type="cellIs" dxfId="1445" priority="1513" stopIfTrue="1" operator="equal">
      <formula>"N/A"</formula>
    </cfRule>
  </conditionalFormatting>
  <conditionalFormatting sqref="U43">
    <cfRule type="expression" dxfId="1444" priority="1510" stopIfTrue="1">
      <formula>IF(OR(U43="Y",U43="y",U43="Partial",U43="partial"),TRUE,FALSE)=FALSE</formula>
    </cfRule>
    <cfRule type="expression" dxfId="1443" priority="1511" stopIfTrue="1">
      <formula>IF(OR(U43="Partial",U43="partial"),TRUE,FALSE)=TRUE</formula>
    </cfRule>
    <cfRule type="expression" dxfId="1442" priority="1512" stopIfTrue="1">
      <formula>IF(OR(U43="Y",U43="y"),TRUE,FALSE)=TRUE</formula>
    </cfRule>
  </conditionalFormatting>
  <conditionalFormatting sqref="U43">
    <cfRule type="cellIs" dxfId="1441" priority="1509" stopIfTrue="1" operator="equal">
      <formula>"N/A"</formula>
    </cfRule>
  </conditionalFormatting>
  <conditionalFormatting sqref="V43">
    <cfRule type="expression" dxfId="1440" priority="1506" stopIfTrue="1">
      <formula>IF(OR(V43="Y",V43="y",V43="Partial",V43="partial"),TRUE,FALSE)=FALSE</formula>
    </cfRule>
    <cfRule type="expression" dxfId="1439" priority="1507" stopIfTrue="1">
      <formula>IF(OR(V43="Partial",V43="partial"),TRUE,FALSE)=TRUE</formula>
    </cfRule>
    <cfRule type="expression" dxfId="1438" priority="1508" stopIfTrue="1">
      <formula>IF(OR(V43="Y",V43="y"),TRUE,FALSE)=TRUE</formula>
    </cfRule>
  </conditionalFormatting>
  <conditionalFormatting sqref="V43">
    <cfRule type="cellIs" dxfId="1437" priority="1505" stopIfTrue="1" operator="equal">
      <formula>"N/A"</formula>
    </cfRule>
  </conditionalFormatting>
  <conditionalFormatting sqref="W43">
    <cfRule type="expression" dxfId="1436" priority="1502" stopIfTrue="1">
      <formula>IF(OR(W43="Y",W43="y",W43="Partial",W43="partial"),TRUE,FALSE)=FALSE</formula>
    </cfRule>
    <cfRule type="expression" dxfId="1435" priority="1503" stopIfTrue="1">
      <formula>IF(OR(W43="Partial",W43="partial"),TRUE,FALSE)=TRUE</formula>
    </cfRule>
    <cfRule type="expression" dxfId="1434" priority="1504" stopIfTrue="1">
      <formula>IF(OR(W43="Y",W43="y"),TRUE,FALSE)=TRUE</formula>
    </cfRule>
  </conditionalFormatting>
  <conditionalFormatting sqref="W43">
    <cfRule type="cellIs" dxfId="1433" priority="1501" stopIfTrue="1" operator="equal">
      <formula>"N/A"</formula>
    </cfRule>
  </conditionalFormatting>
  <conditionalFormatting sqref="X43">
    <cfRule type="expression" dxfId="1432" priority="1498" stopIfTrue="1">
      <formula>IF(OR(X43="Y",X43="y",X43="Partial",X43="partial"),TRUE,FALSE)=FALSE</formula>
    </cfRule>
    <cfRule type="expression" dxfId="1431" priority="1499" stopIfTrue="1">
      <formula>IF(OR(X43="Partial",X43="partial"),TRUE,FALSE)=TRUE</formula>
    </cfRule>
    <cfRule type="expression" dxfId="1430" priority="1500" stopIfTrue="1">
      <formula>IF(OR(X43="Y",X43="y"),TRUE,FALSE)=TRUE</formula>
    </cfRule>
  </conditionalFormatting>
  <conditionalFormatting sqref="X43">
    <cfRule type="cellIs" dxfId="1429" priority="1497" stopIfTrue="1" operator="equal">
      <formula>"N/A"</formula>
    </cfRule>
  </conditionalFormatting>
  <conditionalFormatting sqref="H44">
    <cfRule type="expression" dxfId="1428" priority="1494" stopIfTrue="1">
      <formula>IF(OR(H44="Y",H44="y",H44="Partial",H44="partial"),TRUE,FALSE)=FALSE</formula>
    </cfRule>
    <cfRule type="expression" dxfId="1427" priority="1495" stopIfTrue="1">
      <formula>IF(OR(H44="Partial",H44="partial"),TRUE,FALSE)=TRUE</formula>
    </cfRule>
    <cfRule type="expression" dxfId="1426" priority="1496" stopIfTrue="1">
      <formula>IF(OR(H44="Y",H44="y"),TRUE,FALSE)=TRUE</formula>
    </cfRule>
  </conditionalFormatting>
  <conditionalFormatting sqref="H44">
    <cfRule type="cellIs" dxfId="1425" priority="1493" stopIfTrue="1" operator="equal">
      <formula>"N/A"</formula>
    </cfRule>
  </conditionalFormatting>
  <conditionalFormatting sqref="I44">
    <cfRule type="expression" dxfId="1424" priority="1490" stopIfTrue="1">
      <formula>IF(OR(I44="Y",I44="y",I44="Partial",I44="partial"),TRUE,FALSE)=FALSE</formula>
    </cfRule>
    <cfRule type="expression" dxfId="1423" priority="1491" stopIfTrue="1">
      <formula>IF(OR(I44="Partial",I44="partial"),TRUE,FALSE)=TRUE</formula>
    </cfRule>
    <cfRule type="expression" dxfId="1422" priority="1492" stopIfTrue="1">
      <formula>IF(OR(I44="Y",I44="y"),TRUE,FALSE)=TRUE</formula>
    </cfRule>
  </conditionalFormatting>
  <conditionalFormatting sqref="I44">
    <cfRule type="cellIs" dxfId="1421" priority="1489" stopIfTrue="1" operator="equal">
      <formula>"N/A"</formula>
    </cfRule>
  </conditionalFormatting>
  <conditionalFormatting sqref="J44">
    <cfRule type="expression" dxfId="1420" priority="1486" stopIfTrue="1">
      <formula>IF(OR(J44="Y",J44="y",J44="Partial",J44="partial"),TRUE,FALSE)=FALSE</formula>
    </cfRule>
    <cfRule type="expression" dxfId="1419" priority="1487" stopIfTrue="1">
      <formula>IF(OR(J44="Partial",J44="partial"),TRUE,FALSE)=TRUE</formula>
    </cfRule>
    <cfRule type="expression" dxfId="1418" priority="1488" stopIfTrue="1">
      <formula>IF(OR(J44="Y",J44="y"),TRUE,FALSE)=TRUE</formula>
    </cfRule>
  </conditionalFormatting>
  <conditionalFormatting sqref="J44">
    <cfRule type="cellIs" dxfId="1417" priority="1485" stopIfTrue="1" operator="equal">
      <formula>"N/A"</formula>
    </cfRule>
  </conditionalFormatting>
  <conditionalFormatting sqref="K44">
    <cfRule type="expression" dxfId="1416" priority="1482" stopIfTrue="1">
      <formula>IF(OR(K44="Y",K44="y",K44="Partial",K44="partial"),TRUE,FALSE)=FALSE</formula>
    </cfRule>
    <cfRule type="expression" dxfId="1415" priority="1483" stopIfTrue="1">
      <formula>IF(OR(K44="Partial",K44="partial"),TRUE,FALSE)=TRUE</formula>
    </cfRule>
    <cfRule type="expression" dxfId="1414" priority="1484" stopIfTrue="1">
      <formula>IF(OR(K44="Y",K44="y"),TRUE,FALSE)=TRUE</formula>
    </cfRule>
  </conditionalFormatting>
  <conditionalFormatting sqref="K44">
    <cfRule type="cellIs" dxfId="1413" priority="1481" stopIfTrue="1" operator="equal">
      <formula>"N/A"</formula>
    </cfRule>
  </conditionalFormatting>
  <conditionalFormatting sqref="L44">
    <cfRule type="expression" dxfId="1412" priority="1478" stopIfTrue="1">
      <formula>IF(OR(L44="Y",L44="y",L44="Partial",L44="partial"),TRUE,FALSE)=FALSE</formula>
    </cfRule>
    <cfRule type="expression" dxfId="1411" priority="1479" stopIfTrue="1">
      <formula>IF(OR(L44="Partial",L44="partial"),TRUE,FALSE)=TRUE</formula>
    </cfRule>
    <cfRule type="expression" dxfId="1410" priority="1480" stopIfTrue="1">
      <formula>IF(OR(L44="Y",L44="y"),TRUE,FALSE)=TRUE</formula>
    </cfRule>
  </conditionalFormatting>
  <conditionalFormatting sqref="L44">
    <cfRule type="cellIs" dxfId="1409" priority="1477" stopIfTrue="1" operator="equal">
      <formula>"N/A"</formula>
    </cfRule>
  </conditionalFormatting>
  <conditionalFormatting sqref="M44">
    <cfRule type="expression" dxfId="1408" priority="1474" stopIfTrue="1">
      <formula>IF(OR(M44="Y",M44="y",M44="Partial",M44="partial"),TRUE,FALSE)=FALSE</formula>
    </cfRule>
    <cfRule type="expression" dxfId="1407" priority="1475" stopIfTrue="1">
      <formula>IF(OR(M44="Partial",M44="partial"),TRUE,FALSE)=TRUE</formula>
    </cfRule>
    <cfRule type="expression" dxfId="1406" priority="1476" stopIfTrue="1">
      <formula>IF(OR(M44="Y",M44="y"),TRUE,FALSE)=TRUE</formula>
    </cfRule>
  </conditionalFormatting>
  <conditionalFormatting sqref="M44">
    <cfRule type="cellIs" dxfId="1405" priority="1473" stopIfTrue="1" operator="equal">
      <formula>"N/A"</formula>
    </cfRule>
  </conditionalFormatting>
  <conditionalFormatting sqref="N44">
    <cfRule type="expression" dxfId="1404" priority="1470" stopIfTrue="1">
      <formula>IF(OR(N44="Y",N44="y",N44="Partial",N44="partial"),TRUE,FALSE)=FALSE</formula>
    </cfRule>
    <cfRule type="expression" dxfId="1403" priority="1471" stopIfTrue="1">
      <formula>IF(OR(N44="Partial",N44="partial"),TRUE,FALSE)=TRUE</formula>
    </cfRule>
    <cfRule type="expression" dxfId="1402" priority="1472" stopIfTrue="1">
      <formula>IF(OR(N44="Y",N44="y"),TRUE,FALSE)=TRUE</formula>
    </cfRule>
  </conditionalFormatting>
  <conditionalFormatting sqref="N44">
    <cfRule type="cellIs" dxfId="1401" priority="1469" stopIfTrue="1" operator="equal">
      <formula>"N/A"</formula>
    </cfRule>
  </conditionalFormatting>
  <conditionalFormatting sqref="O44">
    <cfRule type="expression" dxfId="1400" priority="1466" stopIfTrue="1">
      <formula>IF(OR(O44="Y",O44="y",O44="Partial",O44="partial"),TRUE,FALSE)=FALSE</formula>
    </cfRule>
    <cfRule type="expression" dxfId="1399" priority="1467" stopIfTrue="1">
      <formula>IF(OR(O44="Partial",O44="partial"),TRUE,FALSE)=TRUE</formula>
    </cfRule>
    <cfRule type="expression" dxfId="1398" priority="1468" stopIfTrue="1">
      <formula>IF(OR(O44="Y",O44="y"),TRUE,FALSE)=TRUE</formula>
    </cfRule>
  </conditionalFormatting>
  <conditionalFormatting sqref="O44">
    <cfRule type="cellIs" dxfId="1397" priority="1465" stopIfTrue="1" operator="equal">
      <formula>"N/A"</formula>
    </cfRule>
  </conditionalFormatting>
  <conditionalFormatting sqref="P44">
    <cfRule type="expression" dxfId="1396" priority="1462" stopIfTrue="1">
      <formula>IF(OR(P44="Y",P44="y",P44="Partial",P44="partial"),TRUE,FALSE)=FALSE</formula>
    </cfRule>
    <cfRule type="expression" dxfId="1395" priority="1463" stopIfTrue="1">
      <formula>IF(OR(P44="Partial",P44="partial"),TRUE,FALSE)=TRUE</formula>
    </cfRule>
    <cfRule type="expression" dxfId="1394" priority="1464" stopIfTrue="1">
      <formula>IF(OR(P44="Y",P44="y"),TRUE,FALSE)=TRUE</formula>
    </cfRule>
  </conditionalFormatting>
  <conditionalFormatting sqref="P44">
    <cfRule type="cellIs" dxfId="1393" priority="1461" stopIfTrue="1" operator="equal">
      <formula>"N/A"</formula>
    </cfRule>
  </conditionalFormatting>
  <conditionalFormatting sqref="R44">
    <cfRule type="expression" dxfId="1392" priority="1454" stopIfTrue="1">
      <formula>IF(OR(R44="Y",R44="y",R44="Partial",R44="partial"),TRUE,FALSE)=FALSE</formula>
    </cfRule>
    <cfRule type="expression" dxfId="1391" priority="1455" stopIfTrue="1">
      <formula>IF(OR(R44="Partial",R44="partial"),TRUE,FALSE)=TRUE</formula>
    </cfRule>
    <cfRule type="expression" dxfId="1390" priority="1456" stopIfTrue="1">
      <formula>IF(OR(R44="Y",R44="y"),TRUE,FALSE)=TRUE</formula>
    </cfRule>
  </conditionalFormatting>
  <conditionalFormatting sqref="R44">
    <cfRule type="cellIs" dxfId="1389" priority="1453" stopIfTrue="1" operator="equal">
      <formula>"N/A"</formula>
    </cfRule>
  </conditionalFormatting>
  <conditionalFormatting sqref="S44">
    <cfRule type="expression" dxfId="1388" priority="1450" stopIfTrue="1">
      <formula>IF(OR(S44="Y",S44="y",S44="Partial",S44="partial"),TRUE,FALSE)=FALSE</formula>
    </cfRule>
    <cfRule type="expression" dxfId="1387" priority="1451" stopIfTrue="1">
      <formula>IF(OR(S44="Partial",S44="partial"),TRUE,FALSE)=TRUE</formula>
    </cfRule>
    <cfRule type="expression" dxfId="1386" priority="1452" stopIfTrue="1">
      <formula>IF(OR(S44="Y",S44="y"),TRUE,FALSE)=TRUE</formula>
    </cfRule>
  </conditionalFormatting>
  <conditionalFormatting sqref="S44">
    <cfRule type="cellIs" dxfId="1385" priority="1449" stopIfTrue="1" operator="equal">
      <formula>"N/A"</formula>
    </cfRule>
  </conditionalFormatting>
  <conditionalFormatting sqref="T44">
    <cfRule type="expression" dxfId="1384" priority="1446" stopIfTrue="1">
      <formula>IF(OR(T44="Y",T44="y",T44="Partial",T44="partial"),TRUE,FALSE)=FALSE</formula>
    </cfRule>
    <cfRule type="expression" dxfId="1383" priority="1447" stopIfTrue="1">
      <formula>IF(OR(T44="Partial",T44="partial"),TRUE,FALSE)=TRUE</formula>
    </cfRule>
    <cfRule type="expression" dxfId="1382" priority="1448" stopIfTrue="1">
      <formula>IF(OR(T44="Y",T44="y"),TRUE,FALSE)=TRUE</formula>
    </cfRule>
  </conditionalFormatting>
  <conditionalFormatting sqref="T44">
    <cfRule type="cellIs" dxfId="1381" priority="1445" stopIfTrue="1" operator="equal">
      <formula>"N/A"</formula>
    </cfRule>
  </conditionalFormatting>
  <conditionalFormatting sqref="U44">
    <cfRule type="expression" dxfId="1380" priority="1442" stopIfTrue="1">
      <formula>IF(OR(U44="Y",U44="y",U44="Partial",U44="partial"),TRUE,FALSE)=FALSE</formula>
    </cfRule>
    <cfRule type="expression" dxfId="1379" priority="1443" stopIfTrue="1">
      <formula>IF(OR(U44="Partial",U44="partial"),TRUE,FALSE)=TRUE</formula>
    </cfRule>
    <cfRule type="expression" dxfId="1378" priority="1444" stopIfTrue="1">
      <formula>IF(OR(U44="Y",U44="y"),TRUE,FALSE)=TRUE</formula>
    </cfRule>
  </conditionalFormatting>
  <conditionalFormatting sqref="U44">
    <cfRule type="cellIs" dxfId="1377" priority="1441" stopIfTrue="1" operator="equal">
      <formula>"N/A"</formula>
    </cfRule>
  </conditionalFormatting>
  <conditionalFormatting sqref="V44">
    <cfRule type="expression" dxfId="1376" priority="1438" stopIfTrue="1">
      <formula>IF(OR(V44="Y",V44="y",V44="Partial",V44="partial"),TRUE,FALSE)=FALSE</formula>
    </cfRule>
    <cfRule type="expression" dxfId="1375" priority="1439" stopIfTrue="1">
      <formula>IF(OR(V44="Partial",V44="partial"),TRUE,FALSE)=TRUE</formula>
    </cfRule>
    <cfRule type="expression" dxfId="1374" priority="1440" stopIfTrue="1">
      <formula>IF(OR(V44="Y",V44="y"),TRUE,FALSE)=TRUE</formula>
    </cfRule>
  </conditionalFormatting>
  <conditionalFormatting sqref="V44">
    <cfRule type="cellIs" dxfId="1373" priority="1437" stopIfTrue="1" operator="equal">
      <formula>"N/A"</formula>
    </cfRule>
  </conditionalFormatting>
  <conditionalFormatting sqref="W44">
    <cfRule type="expression" dxfId="1372" priority="1434" stopIfTrue="1">
      <formula>IF(OR(W44="Y",W44="y",W44="Partial",W44="partial"),TRUE,FALSE)=FALSE</formula>
    </cfRule>
    <cfRule type="expression" dxfId="1371" priority="1435" stopIfTrue="1">
      <formula>IF(OR(W44="Partial",W44="partial"),TRUE,FALSE)=TRUE</formula>
    </cfRule>
    <cfRule type="expression" dxfId="1370" priority="1436" stopIfTrue="1">
      <formula>IF(OR(W44="Y",W44="y"),TRUE,FALSE)=TRUE</formula>
    </cfRule>
  </conditionalFormatting>
  <conditionalFormatting sqref="W44">
    <cfRule type="cellIs" dxfId="1369" priority="1433" stopIfTrue="1" operator="equal">
      <formula>"N/A"</formula>
    </cfRule>
  </conditionalFormatting>
  <conditionalFormatting sqref="X44">
    <cfRule type="expression" dxfId="1368" priority="1430" stopIfTrue="1">
      <formula>IF(OR(X44="Y",X44="y",X44="Partial",X44="partial"),TRUE,FALSE)=FALSE</formula>
    </cfRule>
    <cfRule type="expression" dxfId="1367" priority="1431" stopIfTrue="1">
      <formula>IF(OR(X44="Partial",X44="partial"),TRUE,FALSE)=TRUE</formula>
    </cfRule>
    <cfRule type="expression" dxfId="1366" priority="1432" stopIfTrue="1">
      <formula>IF(OR(X44="Y",X44="y"),TRUE,FALSE)=TRUE</formula>
    </cfRule>
  </conditionalFormatting>
  <conditionalFormatting sqref="X44">
    <cfRule type="cellIs" dxfId="1365" priority="1429" stopIfTrue="1" operator="equal">
      <formula>"N/A"</formula>
    </cfRule>
  </conditionalFormatting>
  <conditionalFormatting sqref="H45">
    <cfRule type="expression" dxfId="1364" priority="1426" stopIfTrue="1">
      <formula>IF(OR(H45="Y",H45="y",H45="Partial",H45="partial"),TRUE,FALSE)=FALSE</formula>
    </cfRule>
    <cfRule type="expression" dxfId="1363" priority="1427" stopIfTrue="1">
      <formula>IF(OR(H45="Partial",H45="partial"),TRUE,FALSE)=TRUE</formula>
    </cfRule>
    <cfRule type="expression" dxfId="1362" priority="1428" stopIfTrue="1">
      <formula>IF(OR(H45="Y",H45="y"),TRUE,FALSE)=TRUE</formula>
    </cfRule>
  </conditionalFormatting>
  <conditionalFormatting sqref="H45">
    <cfRule type="cellIs" dxfId="1361" priority="1425" stopIfTrue="1" operator="equal">
      <formula>"N/A"</formula>
    </cfRule>
  </conditionalFormatting>
  <conditionalFormatting sqref="I45">
    <cfRule type="expression" dxfId="1360" priority="1422" stopIfTrue="1">
      <formula>IF(OR(I45="Y",I45="y",I45="Partial",I45="partial"),TRUE,FALSE)=FALSE</formula>
    </cfRule>
    <cfRule type="expression" dxfId="1359" priority="1423" stopIfTrue="1">
      <formula>IF(OR(I45="Partial",I45="partial"),TRUE,FALSE)=TRUE</formula>
    </cfRule>
    <cfRule type="expression" dxfId="1358" priority="1424" stopIfTrue="1">
      <formula>IF(OR(I45="Y",I45="y"),TRUE,FALSE)=TRUE</formula>
    </cfRule>
  </conditionalFormatting>
  <conditionalFormatting sqref="I45">
    <cfRule type="cellIs" dxfId="1357" priority="1421" stopIfTrue="1" operator="equal">
      <formula>"N/A"</formula>
    </cfRule>
  </conditionalFormatting>
  <conditionalFormatting sqref="J45">
    <cfRule type="expression" dxfId="1356" priority="1418" stopIfTrue="1">
      <formula>IF(OR(J45="Y",J45="y",J45="Partial",J45="partial"),TRUE,FALSE)=FALSE</formula>
    </cfRule>
    <cfRule type="expression" dxfId="1355" priority="1419" stopIfTrue="1">
      <formula>IF(OR(J45="Partial",J45="partial"),TRUE,FALSE)=TRUE</formula>
    </cfRule>
    <cfRule type="expression" dxfId="1354" priority="1420" stopIfTrue="1">
      <formula>IF(OR(J45="Y",J45="y"),TRUE,FALSE)=TRUE</formula>
    </cfRule>
  </conditionalFormatting>
  <conditionalFormatting sqref="J45">
    <cfRule type="cellIs" dxfId="1353" priority="1417" stopIfTrue="1" operator="equal">
      <formula>"N/A"</formula>
    </cfRule>
  </conditionalFormatting>
  <conditionalFormatting sqref="K45">
    <cfRule type="expression" dxfId="1352" priority="1414" stopIfTrue="1">
      <formula>IF(OR(K45="Y",K45="y",K45="Partial",K45="partial"),TRUE,FALSE)=FALSE</formula>
    </cfRule>
    <cfRule type="expression" dxfId="1351" priority="1415" stopIfTrue="1">
      <formula>IF(OR(K45="Partial",K45="partial"),TRUE,FALSE)=TRUE</formula>
    </cfRule>
    <cfRule type="expression" dxfId="1350" priority="1416" stopIfTrue="1">
      <formula>IF(OR(K45="Y",K45="y"),TRUE,FALSE)=TRUE</formula>
    </cfRule>
  </conditionalFormatting>
  <conditionalFormatting sqref="K45">
    <cfRule type="cellIs" dxfId="1349" priority="1413" stopIfTrue="1" operator="equal">
      <formula>"N/A"</formula>
    </cfRule>
  </conditionalFormatting>
  <conditionalFormatting sqref="L45">
    <cfRule type="expression" dxfId="1348" priority="1410" stopIfTrue="1">
      <formula>IF(OR(L45="Y",L45="y",L45="Partial",L45="partial"),TRUE,FALSE)=FALSE</formula>
    </cfRule>
    <cfRule type="expression" dxfId="1347" priority="1411" stopIfTrue="1">
      <formula>IF(OR(L45="Partial",L45="partial"),TRUE,FALSE)=TRUE</formula>
    </cfRule>
    <cfRule type="expression" dxfId="1346" priority="1412" stopIfTrue="1">
      <formula>IF(OR(L45="Y",L45="y"),TRUE,FALSE)=TRUE</formula>
    </cfRule>
  </conditionalFormatting>
  <conditionalFormatting sqref="L45">
    <cfRule type="cellIs" dxfId="1345" priority="1409" stopIfTrue="1" operator="equal">
      <formula>"N/A"</formula>
    </cfRule>
  </conditionalFormatting>
  <conditionalFormatting sqref="M45">
    <cfRule type="expression" dxfId="1344" priority="1406" stopIfTrue="1">
      <formula>IF(OR(M45="Y",M45="y",M45="Partial",M45="partial"),TRUE,FALSE)=FALSE</formula>
    </cfRule>
    <cfRule type="expression" dxfId="1343" priority="1407" stopIfTrue="1">
      <formula>IF(OR(M45="Partial",M45="partial"),TRUE,FALSE)=TRUE</formula>
    </cfRule>
    <cfRule type="expression" dxfId="1342" priority="1408" stopIfTrue="1">
      <formula>IF(OR(M45="Y",M45="y"),TRUE,FALSE)=TRUE</formula>
    </cfRule>
  </conditionalFormatting>
  <conditionalFormatting sqref="M45">
    <cfRule type="cellIs" dxfId="1341" priority="1405" stopIfTrue="1" operator="equal">
      <formula>"N/A"</formula>
    </cfRule>
  </conditionalFormatting>
  <conditionalFormatting sqref="N45">
    <cfRule type="expression" dxfId="1340" priority="1402" stopIfTrue="1">
      <formula>IF(OR(N45="Y",N45="y",N45="Partial",N45="partial"),TRUE,FALSE)=FALSE</formula>
    </cfRule>
    <cfRule type="expression" dxfId="1339" priority="1403" stopIfTrue="1">
      <formula>IF(OR(N45="Partial",N45="partial"),TRUE,FALSE)=TRUE</formula>
    </cfRule>
    <cfRule type="expression" dxfId="1338" priority="1404" stopIfTrue="1">
      <formula>IF(OR(N45="Y",N45="y"),TRUE,FALSE)=TRUE</formula>
    </cfRule>
  </conditionalFormatting>
  <conditionalFormatting sqref="N45">
    <cfRule type="cellIs" dxfId="1337" priority="1401" stopIfTrue="1" operator="equal">
      <formula>"N/A"</formula>
    </cfRule>
  </conditionalFormatting>
  <conditionalFormatting sqref="O45">
    <cfRule type="expression" dxfId="1336" priority="1398" stopIfTrue="1">
      <formula>IF(OR(O45="Y",O45="y",O45="Partial",O45="partial"),TRUE,FALSE)=FALSE</formula>
    </cfRule>
    <cfRule type="expression" dxfId="1335" priority="1399" stopIfTrue="1">
      <formula>IF(OR(O45="Partial",O45="partial"),TRUE,FALSE)=TRUE</formula>
    </cfRule>
    <cfRule type="expression" dxfId="1334" priority="1400" stopIfTrue="1">
      <formula>IF(OR(O45="Y",O45="y"),TRUE,FALSE)=TRUE</formula>
    </cfRule>
  </conditionalFormatting>
  <conditionalFormatting sqref="O45">
    <cfRule type="cellIs" dxfId="1333" priority="1397" stopIfTrue="1" operator="equal">
      <formula>"N/A"</formula>
    </cfRule>
  </conditionalFormatting>
  <conditionalFormatting sqref="P45">
    <cfRule type="expression" dxfId="1332" priority="1394" stopIfTrue="1">
      <formula>IF(OR(P45="Y",P45="y",P45="Partial",P45="partial"),TRUE,FALSE)=FALSE</formula>
    </cfRule>
    <cfRule type="expression" dxfId="1331" priority="1395" stopIfTrue="1">
      <formula>IF(OR(P45="Partial",P45="partial"),TRUE,FALSE)=TRUE</formula>
    </cfRule>
    <cfRule type="expression" dxfId="1330" priority="1396" stopIfTrue="1">
      <formula>IF(OR(P45="Y",P45="y"),TRUE,FALSE)=TRUE</formula>
    </cfRule>
  </conditionalFormatting>
  <conditionalFormatting sqref="P45">
    <cfRule type="cellIs" dxfId="1329" priority="1393" stopIfTrue="1" operator="equal">
      <formula>"N/A"</formula>
    </cfRule>
  </conditionalFormatting>
  <conditionalFormatting sqref="R45">
    <cfRule type="expression" dxfId="1328" priority="1386" stopIfTrue="1">
      <formula>IF(OR(R45="Y",R45="y",R45="Partial",R45="partial"),TRUE,FALSE)=FALSE</formula>
    </cfRule>
    <cfRule type="expression" dxfId="1327" priority="1387" stopIfTrue="1">
      <formula>IF(OR(R45="Partial",R45="partial"),TRUE,FALSE)=TRUE</formula>
    </cfRule>
    <cfRule type="expression" dxfId="1326" priority="1388" stopIfTrue="1">
      <formula>IF(OR(R45="Y",R45="y"),TRUE,FALSE)=TRUE</formula>
    </cfRule>
  </conditionalFormatting>
  <conditionalFormatting sqref="R45">
    <cfRule type="cellIs" dxfId="1325" priority="1385" stopIfTrue="1" operator="equal">
      <formula>"N/A"</formula>
    </cfRule>
  </conditionalFormatting>
  <conditionalFormatting sqref="S45">
    <cfRule type="expression" dxfId="1324" priority="1382" stopIfTrue="1">
      <formula>IF(OR(S45="Y",S45="y",S45="Partial",S45="partial"),TRUE,FALSE)=FALSE</formula>
    </cfRule>
    <cfRule type="expression" dxfId="1323" priority="1383" stopIfTrue="1">
      <formula>IF(OR(S45="Partial",S45="partial"),TRUE,FALSE)=TRUE</formula>
    </cfRule>
    <cfRule type="expression" dxfId="1322" priority="1384" stopIfTrue="1">
      <formula>IF(OR(S45="Y",S45="y"),TRUE,FALSE)=TRUE</formula>
    </cfRule>
  </conditionalFormatting>
  <conditionalFormatting sqref="S45">
    <cfRule type="cellIs" dxfId="1321" priority="1381" stopIfTrue="1" operator="equal">
      <formula>"N/A"</formula>
    </cfRule>
  </conditionalFormatting>
  <conditionalFormatting sqref="T45">
    <cfRule type="expression" dxfId="1320" priority="1378" stopIfTrue="1">
      <formula>IF(OR(T45="Y",T45="y",T45="Partial",T45="partial"),TRUE,FALSE)=FALSE</formula>
    </cfRule>
    <cfRule type="expression" dxfId="1319" priority="1379" stopIfTrue="1">
      <formula>IF(OR(T45="Partial",T45="partial"),TRUE,FALSE)=TRUE</formula>
    </cfRule>
    <cfRule type="expression" dxfId="1318" priority="1380" stopIfTrue="1">
      <formula>IF(OR(T45="Y",T45="y"),TRUE,FALSE)=TRUE</formula>
    </cfRule>
  </conditionalFormatting>
  <conditionalFormatting sqref="T45">
    <cfRule type="cellIs" dxfId="1317" priority="1377" stopIfTrue="1" operator="equal">
      <formula>"N/A"</formula>
    </cfRule>
  </conditionalFormatting>
  <conditionalFormatting sqref="U45">
    <cfRule type="expression" dxfId="1316" priority="1374" stopIfTrue="1">
      <formula>IF(OR(U45="Y",U45="y",U45="Partial",U45="partial"),TRUE,FALSE)=FALSE</formula>
    </cfRule>
    <cfRule type="expression" dxfId="1315" priority="1375" stopIfTrue="1">
      <formula>IF(OR(U45="Partial",U45="partial"),TRUE,FALSE)=TRUE</formula>
    </cfRule>
    <cfRule type="expression" dxfId="1314" priority="1376" stopIfTrue="1">
      <formula>IF(OR(U45="Y",U45="y"),TRUE,FALSE)=TRUE</formula>
    </cfRule>
  </conditionalFormatting>
  <conditionalFormatting sqref="U45">
    <cfRule type="cellIs" dxfId="1313" priority="1373" stopIfTrue="1" operator="equal">
      <formula>"N/A"</formula>
    </cfRule>
  </conditionalFormatting>
  <conditionalFormatting sqref="V45">
    <cfRule type="expression" dxfId="1312" priority="1370" stopIfTrue="1">
      <formula>IF(OR(V45="Y",V45="y",V45="Partial",V45="partial"),TRUE,FALSE)=FALSE</formula>
    </cfRule>
    <cfRule type="expression" dxfId="1311" priority="1371" stopIfTrue="1">
      <formula>IF(OR(V45="Partial",V45="partial"),TRUE,FALSE)=TRUE</formula>
    </cfRule>
    <cfRule type="expression" dxfId="1310" priority="1372" stopIfTrue="1">
      <formula>IF(OR(V45="Y",V45="y"),TRUE,FALSE)=TRUE</formula>
    </cfRule>
  </conditionalFormatting>
  <conditionalFormatting sqref="V45">
    <cfRule type="cellIs" dxfId="1309" priority="1369" stopIfTrue="1" operator="equal">
      <formula>"N/A"</formula>
    </cfRule>
  </conditionalFormatting>
  <conditionalFormatting sqref="W45">
    <cfRule type="expression" dxfId="1308" priority="1366" stopIfTrue="1">
      <formula>IF(OR(W45="Y",W45="y",W45="Partial",W45="partial"),TRUE,FALSE)=FALSE</formula>
    </cfRule>
    <cfRule type="expression" dxfId="1307" priority="1367" stopIfTrue="1">
      <formula>IF(OR(W45="Partial",W45="partial"),TRUE,FALSE)=TRUE</formula>
    </cfRule>
    <cfRule type="expression" dxfId="1306" priority="1368" stopIfTrue="1">
      <formula>IF(OR(W45="Y",W45="y"),TRUE,FALSE)=TRUE</formula>
    </cfRule>
  </conditionalFormatting>
  <conditionalFormatting sqref="W45">
    <cfRule type="cellIs" dxfId="1305" priority="1365" stopIfTrue="1" operator="equal">
      <formula>"N/A"</formula>
    </cfRule>
  </conditionalFormatting>
  <conditionalFormatting sqref="X45">
    <cfRule type="expression" dxfId="1304" priority="1362" stopIfTrue="1">
      <formula>IF(OR(X45="Y",X45="y",X45="Partial",X45="partial"),TRUE,FALSE)=FALSE</formula>
    </cfRule>
    <cfRule type="expression" dxfId="1303" priority="1363" stopIfTrue="1">
      <formula>IF(OR(X45="Partial",X45="partial"),TRUE,FALSE)=TRUE</formula>
    </cfRule>
    <cfRule type="expression" dxfId="1302" priority="1364" stopIfTrue="1">
      <formula>IF(OR(X45="Y",X45="y"),TRUE,FALSE)=TRUE</formula>
    </cfRule>
  </conditionalFormatting>
  <conditionalFormatting sqref="X45">
    <cfRule type="cellIs" dxfId="1301" priority="1361" stopIfTrue="1" operator="equal">
      <formula>"N/A"</formula>
    </cfRule>
  </conditionalFormatting>
  <conditionalFormatting sqref="H46">
    <cfRule type="expression" dxfId="1300" priority="1358" stopIfTrue="1">
      <formula>IF(OR(H46="Y",H46="y",H46="Partial",H46="partial"),TRUE,FALSE)=FALSE</formula>
    </cfRule>
    <cfRule type="expression" dxfId="1299" priority="1359" stopIfTrue="1">
      <formula>IF(OR(H46="Partial",H46="partial"),TRUE,FALSE)=TRUE</formula>
    </cfRule>
    <cfRule type="expression" dxfId="1298" priority="1360" stopIfTrue="1">
      <formula>IF(OR(H46="Y",H46="y"),TRUE,FALSE)=TRUE</formula>
    </cfRule>
  </conditionalFormatting>
  <conditionalFormatting sqref="H46">
    <cfRule type="cellIs" dxfId="1297" priority="1357" stopIfTrue="1" operator="equal">
      <formula>"N/A"</formula>
    </cfRule>
  </conditionalFormatting>
  <conditionalFormatting sqref="I46">
    <cfRule type="expression" dxfId="1296" priority="1354" stopIfTrue="1">
      <formula>IF(OR(I46="Y",I46="y",I46="Partial",I46="partial"),TRUE,FALSE)=FALSE</formula>
    </cfRule>
    <cfRule type="expression" dxfId="1295" priority="1355" stopIfTrue="1">
      <formula>IF(OR(I46="Partial",I46="partial"),TRUE,FALSE)=TRUE</formula>
    </cfRule>
    <cfRule type="expression" dxfId="1294" priority="1356" stopIfTrue="1">
      <formula>IF(OR(I46="Y",I46="y"),TRUE,FALSE)=TRUE</formula>
    </cfRule>
  </conditionalFormatting>
  <conditionalFormatting sqref="I46">
    <cfRule type="cellIs" dxfId="1293" priority="1353" stopIfTrue="1" operator="equal">
      <formula>"N/A"</formula>
    </cfRule>
  </conditionalFormatting>
  <conditionalFormatting sqref="J46">
    <cfRule type="expression" dxfId="1292" priority="1350" stopIfTrue="1">
      <formula>IF(OR(J46="Y",J46="y",J46="Partial",J46="partial"),TRUE,FALSE)=FALSE</formula>
    </cfRule>
    <cfRule type="expression" dxfId="1291" priority="1351" stopIfTrue="1">
      <formula>IF(OR(J46="Partial",J46="partial"),TRUE,FALSE)=TRUE</formula>
    </cfRule>
    <cfRule type="expression" dxfId="1290" priority="1352" stopIfTrue="1">
      <formula>IF(OR(J46="Y",J46="y"),TRUE,FALSE)=TRUE</formula>
    </cfRule>
  </conditionalFormatting>
  <conditionalFormatting sqref="J46">
    <cfRule type="cellIs" dxfId="1289" priority="1349" stopIfTrue="1" operator="equal">
      <formula>"N/A"</formula>
    </cfRule>
  </conditionalFormatting>
  <conditionalFormatting sqref="K46">
    <cfRule type="expression" dxfId="1288" priority="1346" stopIfTrue="1">
      <formula>IF(OR(K46="Y",K46="y",K46="Partial",K46="partial"),TRUE,FALSE)=FALSE</formula>
    </cfRule>
    <cfRule type="expression" dxfId="1287" priority="1347" stopIfTrue="1">
      <formula>IF(OR(K46="Partial",K46="partial"),TRUE,FALSE)=TRUE</formula>
    </cfRule>
    <cfRule type="expression" dxfId="1286" priority="1348" stopIfTrue="1">
      <formula>IF(OR(K46="Y",K46="y"),TRUE,FALSE)=TRUE</formula>
    </cfRule>
  </conditionalFormatting>
  <conditionalFormatting sqref="K46">
    <cfRule type="cellIs" dxfId="1285" priority="1345" stopIfTrue="1" operator="equal">
      <formula>"N/A"</formula>
    </cfRule>
  </conditionalFormatting>
  <conditionalFormatting sqref="L46">
    <cfRule type="expression" dxfId="1284" priority="1342" stopIfTrue="1">
      <formula>IF(OR(L46="Y",L46="y",L46="Partial",L46="partial"),TRUE,FALSE)=FALSE</formula>
    </cfRule>
    <cfRule type="expression" dxfId="1283" priority="1343" stopIfTrue="1">
      <formula>IF(OR(L46="Partial",L46="partial"),TRUE,FALSE)=TRUE</formula>
    </cfRule>
    <cfRule type="expression" dxfId="1282" priority="1344" stopIfTrue="1">
      <formula>IF(OR(L46="Y",L46="y"),TRUE,FALSE)=TRUE</formula>
    </cfRule>
  </conditionalFormatting>
  <conditionalFormatting sqref="L46">
    <cfRule type="cellIs" dxfId="1281" priority="1341" stopIfTrue="1" operator="equal">
      <formula>"N/A"</formula>
    </cfRule>
  </conditionalFormatting>
  <conditionalFormatting sqref="M46">
    <cfRule type="expression" dxfId="1280" priority="1338" stopIfTrue="1">
      <formula>IF(OR(M46="Y",M46="y",M46="Partial",M46="partial"),TRUE,FALSE)=FALSE</formula>
    </cfRule>
    <cfRule type="expression" dxfId="1279" priority="1339" stopIfTrue="1">
      <formula>IF(OR(M46="Partial",M46="partial"),TRUE,FALSE)=TRUE</formula>
    </cfRule>
    <cfRule type="expression" dxfId="1278" priority="1340" stopIfTrue="1">
      <formula>IF(OR(M46="Y",M46="y"),TRUE,FALSE)=TRUE</formula>
    </cfRule>
  </conditionalFormatting>
  <conditionalFormatting sqref="M46">
    <cfRule type="cellIs" dxfId="1277" priority="1337" stopIfTrue="1" operator="equal">
      <formula>"N/A"</formula>
    </cfRule>
  </conditionalFormatting>
  <conditionalFormatting sqref="N46">
    <cfRule type="expression" dxfId="1276" priority="1334" stopIfTrue="1">
      <formula>IF(OR(N46="Y",N46="y",N46="Partial",N46="partial"),TRUE,FALSE)=FALSE</formula>
    </cfRule>
    <cfRule type="expression" dxfId="1275" priority="1335" stopIfTrue="1">
      <formula>IF(OR(N46="Partial",N46="partial"),TRUE,FALSE)=TRUE</formula>
    </cfRule>
    <cfRule type="expression" dxfId="1274" priority="1336" stopIfTrue="1">
      <formula>IF(OR(N46="Y",N46="y"),TRUE,FALSE)=TRUE</formula>
    </cfRule>
  </conditionalFormatting>
  <conditionalFormatting sqref="N46">
    <cfRule type="cellIs" dxfId="1273" priority="1333" stopIfTrue="1" operator="equal">
      <formula>"N/A"</formula>
    </cfRule>
  </conditionalFormatting>
  <conditionalFormatting sqref="O46">
    <cfRule type="expression" dxfId="1272" priority="1330" stopIfTrue="1">
      <formula>IF(OR(O46="Y",O46="y",O46="Partial",O46="partial"),TRUE,FALSE)=FALSE</formula>
    </cfRule>
    <cfRule type="expression" dxfId="1271" priority="1331" stopIfTrue="1">
      <formula>IF(OR(O46="Partial",O46="partial"),TRUE,FALSE)=TRUE</formula>
    </cfRule>
    <cfRule type="expression" dxfId="1270" priority="1332" stopIfTrue="1">
      <formula>IF(OR(O46="Y",O46="y"),TRUE,FALSE)=TRUE</formula>
    </cfRule>
  </conditionalFormatting>
  <conditionalFormatting sqref="O46">
    <cfRule type="cellIs" dxfId="1269" priority="1329" stopIfTrue="1" operator="equal">
      <formula>"N/A"</formula>
    </cfRule>
  </conditionalFormatting>
  <conditionalFormatting sqref="P46">
    <cfRule type="expression" dxfId="1268" priority="1326" stopIfTrue="1">
      <formula>IF(OR(P46="Y",P46="y",P46="Partial",P46="partial"),TRUE,FALSE)=FALSE</formula>
    </cfRule>
    <cfRule type="expression" dxfId="1267" priority="1327" stopIfTrue="1">
      <formula>IF(OR(P46="Partial",P46="partial"),TRUE,FALSE)=TRUE</formula>
    </cfRule>
    <cfRule type="expression" dxfId="1266" priority="1328" stopIfTrue="1">
      <formula>IF(OR(P46="Y",P46="y"),TRUE,FALSE)=TRUE</formula>
    </cfRule>
  </conditionalFormatting>
  <conditionalFormatting sqref="P46">
    <cfRule type="cellIs" dxfId="1265" priority="1325" stopIfTrue="1" operator="equal">
      <formula>"N/A"</formula>
    </cfRule>
  </conditionalFormatting>
  <conditionalFormatting sqref="R46">
    <cfRule type="expression" dxfId="1264" priority="1318" stopIfTrue="1">
      <formula>IF(OR(R46="Y",R46="y",R46="Partial",R46="partial"),TRUE,FALSE)=FALSE</formula>
    </cfRule>
    <cfRule type="expression" dxfId="1263" priority="1319" stopIfTrue="1">
      <formula>IF(OR(R46="Partial",R46="partial"),TRUE,FALSE)=TRUE</formula>
    </cfRule>
    <cfRule type="expression" dxfId="1262" priority="1320" stopIfTrue="1">
      <formula>IF(OR(R46="Y",R46="y"),TRUE,FALSE)=TRUE</formula>
    </cfRule>
  </conditionalFormatting>
  <conditionalFormatting sqref="R46">
    <cfRule type="cellIs" dxfId="1261" priority="1317" stopIfTrue="1" operator="equal">
      <formula>"N/A"</formula>
    </cfRule>
  </conditionalFormatting>
  <conditionalFormatting sqref="S46">
    <cfRule type="expression" dxfId="1260" priority="1314" stopIfTrue="1">
      <formula>IF(OR(S46="Y",S46="y",S46="Partial",S46="partial"),TRUE,FALSE)=FALSE</formula>
    </cfRule>
    <cfRule type="expression" dxfId="1259" priority="1315" stopIfTrue="1">
      <formula>IF(OR(S46="Partial",S46="partial"),TRUE,FALSE)=TRUE</formula>
    </cfRule>
    <cfRule type="expression" dxfId="1258" priority="1316" stopIfTrue="1">
      <formula>IF(OR(S46="Y",S46="y"),TRUE,FALSE)=TRUE</formula>
    </cfRule>
  </conditionalFormatting>
  <conditionalFormatting sqref="S46">
    <cfRule type="cellIs" dxfId="1257" priority="1313" stopIfTrue="1" operator="equal">
      <formula>"N/A"</formula>
    </cfRule>
  </conditionalFormatting>
  <conditionalFormatting sqref="T46">
    <cfRule type="expression" dxfId="1256" priority="1310" stopIfTrue="1">
      <formula>IF(OR(T46="Y",T46="y",T46="Partial",T46="partial"),TRUE,FALSE)=FALSE</formula>
    </cfRule>
    <cfRule type="expression" dxfId="1255" priority="1311" stopIfTrue="1">
      <formula>IF(OR(T46="Partial",T46="partial"),TRUE,FALSE)=TRUE</formula>
    </cfRule>
    <cfRule type="expression" dxfId="1254" priority="1312" stopIfTrue="1">
      <formula>IF(OR(T46="Y",T46="y"),TRUE,FALSE)=TRUE</formula>
    </cfRule>
  </conditionalFormatting>
  <conditionalFormatting sqref="T46">
    <cfRule type="cellIs" dxfId="1253" priority="1309" stopIfTrue="1" operator="equal">
      <formula>"N/A"</formula>
    </cfRule>
  </conditionalFormatting>
  <conditionalFormatting sqref="U46">
    <cfRule type="expression" dxfId="1252" priority="1306" stopIfTrue="1">
      <formula>IF(OR(U46="Y",U46="y",U46="Partial",U46="partial"),TRUE,FALSE)=FALSE</formula>
    </cfRule>
    <cfRule type="expression" dxfId="1251" priority="1307" stopIfTrue="1">
      <formula>IF(OR(U46="Partial",U46="partial"),TRUE,FALSE)=TRUE</formula>
    </cfRule>
    <cfRule type="expression" dxfId="1250" priority="1308" stopIfTrue="1">
      <formula>IF(OR(U46="Y",U46="y"),TRUE,FALSE)=TRUE</formula>
    </cfRule>
  </conditionalFormatting>
  <conditionalFormatting sqref="U46">
    <cfRule type="cellIs" dxfId="1249" priority="1305" stopIfTrue="1" operator="equal">
      <formula>"N/A"</formula>
    </cfRule>
  </conditionalFormatting>
  <conditionalFormatting sqref="V46">
    <cfRule type="expression" dxfId="1248" priority="1302" stopIfTrue="1">
      <formula>IF(OR(V46="Y",V46="y",V46="Partial",V46="partial"),TRUE,FALSE)=FALSE</formula>
    </cfRule>
    <cfRule type="expression" dxfId="1247" priority="1303" stopIfTrue="1">
      <formula>IF(OR(V46="Partial",V46="partial"),TRUE,FALSE)=TRUE</formula>
    </cfRule>
    <cfRule type="expression" dxfId="1246" priority="1304" stopIfTrue="1">
      <formula>IF(OR(V46="Y",V46="y"),TRUE,FALSE)=TRUE</formula>
    </cfRule>
  </conditionalFormatting>
  <conditionalFormatting sqref="V46">
    <cfRule type="cellIs" dxfId="1245" priority="1301" stopIfTrue="1" operator="equal">
      <formula>"N/A"</formula>
    </cfRule>
  </conditionalFormatting>
  <conditionalFormatting sqref="W46">
    <cfRule type="expression" dxfId="1244" priority="1298" stopIfTrue="1">
      <formula>IF(OR(W46="Y",W46="y",W46="Partial",W46="partial"),TRUE,FALSE)=FALSE</formula>
    </cfRule>
    <cfRule type="expression" dxfId="1243" priority="1299" stopIfTrue="1">
      <formula>IF(OR(W46="Partial",W46="partial"),TRUE,FALSE)=TRUE</formula>
    </cfRule>
    <cfRule type="expression" dxfId="1242" priority="1300" stopIfTrue="1">
      <formula>IF(OR(W46="Y",W46="y"),TRUE,FALSE)=TRUE</formula>
    </cfRule>
  </conditionalFormatting>
  <conditionalFormatting sqref="W46">
    <cfRule type="cellIs" dxfId="1241" priority="1297" stopIfTrue="1" operator="equal">
      <formula>"N/A"</formula>
    </cfRule>
  </conditionalFormatting>
  <conditionalFormatting sqref="X46">
    <cfRule type="expression" dxfId="1240" priority="1294" stopIfTrue="1">
      <formula>IF(OR(X46="Y",X46="y",X46="Partial",X46="partial"),TRUE,FALSE)=FALSE</formula>
    </cfRule>
    <cfRule type="expression" dxfId="1239" priority="1295" stopIfTrue="1">
      <formula>IF(OR(X46="Partial",X46="partial"),TRUE,FALSE)=TRUE</formula>
    </cfRule>
    <cfRule type="expression" dxfId="1238" priority="1296" stopIfTrue="1">
      <formula>IF(OR(X46="Y",X46="y"),TRUE,FALSE)=TRUE</formula>
    </cfRule>
  </conditionalFormatting>
  <conditionalFormatting sqref="X46">
    <cfRule type="cellIs" dxfId="1237" priority="1293" stopIfTrue="1" operator="equal">
      <formula>"N/A"</formula>
    </cfRule>
  </conditionalFormatting>
  <conditionalFormatting sqref="H47">
    <cfRule type="expression" dxfId="1236" priority="1290" stopIfTrue="1">
      <formula>IF(OR(H47="Y",H47="y",H47="Partial",H47="partial"),TRUE,FALSE)=FALSE</formula>
    </cfRule>
    <cfRule type="expression" dxfId="1235" priority="1291" stopIfTrue="1">
      <formula>IF(OR(H47="Partial",H47="partial"),TRUE,FALSE)=TRUE</formula>
    </cfRule>
    <cfRule type="expression" dxfId="1234" priority="1292" stopIfTrue="1">
      <formula>IF(OR(H47="Y",H47="y"),TRUE,FALSE)=TRUE</formula>
    </cfRule>
  </conditionalFormatting>
  <conditionalFormatting sqref="H47">
    <cfRule type="cellIs" dxfId="1233" priority="1289" stopIfTrue="1" operator="equal">
      <formula>"N/A"</formula>
    </cfRule>
  </conditionalFormatting>
  <conditionalFormatting sqref="I47">
    <cfRule type="expression" dxfId="1232" priority="1286" stopIfTrue="1">
      <formula>IF(OR(I47="Y",I47="y",I47="Partial",I47="partial"),TRUE,FALSE)=FALSE</formula>
    </cfRule>
    <cfRule type="expression" dxfId="1231" priority="1287" stopIfTrue="1">
      <formula>IF(OR(I47="Partial",I47="partial"),TRUE,FALSE)=TRUE</formula>
    </cfRule>
    <cfRule type="expression" dxfId="1230" priority="1288" stopIfTrue="1">
      <formula>IF(OR(I47="Y",I47="y"),TRUE,FALSE)=TRUE</formula>
    </cfRule>
  </conditionalFormatting>
  <conditionalFormatting sqref="I47">
    <cfRule type="cellIs" dxfId="1229" priority="1285" stopIfTrue="1" operator="equal">
      <formula>"N/A"</formula>
    </cfRule>
  </conditionalFormatting>
  <conditionalFormatting sqref="J47">
    <cfRule type="expression" dxfId="1228" priority="1282" stopIfTrue="1">
      <formula>IF(OR(J47="Y",J47="y",J47="Partial",J47="partial"),TRUE,FALSE)=FALSE</formula>
    </cfRule>
    <cfRule type="expression" dxfId="1227" priority="1283" stopIfTrue="1">
      <formula>IF(OR(J47="Partial",J47="partial"),TRUE,FALSE)=TRUE</formula>
    </cfRule>
    <cfRule type="expression" dxfId="1226" priority="1284" stopIfTrue="1">
      <formula>IF(OR(J47="Y",J47="y"),TRUE,FALSE)=TRUE</formula>
    </cfRule>
  </conditionalFormatting>
  <conditionalFormatting sqref="J47">
    <cfRule type="cellIs" dxfId="1225" priority="1281" stopIfTrue="1" operator="equal">
      <formula>"N/A"</formula>
    </cfRule>
  </conditionalFormatting>
  <conditionalFormatting sqref="K47">
    <cfRule type="expression" dxfId="1224" priority="1278" stopIfTrue="1">
      <formula>IF(OR(K47="Y",K47="y",K47="Partial",K47="partial"),TRUE,FALSE)=FALSE</formula>
    </cfRule>
    <cfRule type="expression" dxfId="1223" priority="1279" stopIfTrue="1">
      <formula>IF(OR(K47="Partial",K47="partial"),TRUE,FALSE)=TRUE</formula>
    </cfRule>
    <cfRule type="expression" dxfId="1222" priority="1280" stopIfTrue="1">
      <formula>IF(OR(K47="Y",K47="y"),TRUE,FALSE)=TRUE</formula>
    </cfRule>
  </conditionalFormatting>
  <conditionalFormatting sqref="K47">
    <cfRule type="cellIs" dxfId="1221" priority="1277" stopIfTrue="1" operator="equal">
      <formula>"N/A"</formula>
    </cfRule>
  </conditionalFormatting>
  <conditionalFormatting sqref="L47">
    <cfRule type="expression" dxfId="1220" priority="1274" stopIfTrue="1">
      <formula>IF(OR(L47="Y",L47="y",L47="Partial",L47="partial"),TRUE,FALSE)=FALSE</formula>
    </cfRule>
    <cfRule type="expression" dxfId="1219" priority="1275" stopIfTrue="1">
      <formula>IF(OR(L47="Partial",L47="partial"),TRUE,FALSE)=TRUE</formula>
    </cfRule>
    <cfRule type="expression" dxfId="1218" priority="1276" stopIfTrue="1">
      <formula>IF(OR(L47="Y",L47="y"),TRUE,FALSE)=TRUE</formula>
    </cfRule>
  </conditionalFormatting>
  <conditionalFormatting sqref="L47">
    <cfRule type="cellIs" dxfId="1217" priority="1273" stopIfTrue="1" operator="equal">
      <formula>"N/A"</formula>
    </cfRule>
  </conditionalFormatting>
  <conditionalFormatting sqref="M47">
    <cfRule type="expression" dxfId="1216" priority="1270" stopIfTrue="1">
      <formula>IF(OR(M47="Y",M47="y",M47="Partial",M47="partial"),TRUE,FALSE)=FALSE</formula>
    </cfRule>
    <cfRule type="expression" dxfId="1215" priority="1271" stopIfTrue="1">
      <formula>IF(OR(M47="Partial",M47="partial"),TRUE,FALSE)=TRUE</formula>
    </cfRule>
    <cfRule type="expression" dxfId="1214" priority="1272" stopIfTrue="1">
      <formula>IF(OR(M47="Y",M47="y"),TRUE,FALSE)=TRUE</formula>
    </cfRule>
  </conditionalFormatting>
  <conditionalFormatting sqref="M47">
    <cfRule type="cellIs" dxfId="1213" priority="1269" stopIfTrue="1" operator="equal">
      <formula>"N/A"</formula>
    </cfRule>
  </conditionalFormatting>
  <conditionalFormatting sqref="N47">
    <cfRule type="expression" dxfId="1212" priority="1266" stopIfTrue="1">
      <formula>IF(OR(N47="Y",N47="y",N47="Partial",N47="partial"),TRUE,FALSE)=FALSE</formula>
    </cfRule>
    <cfRule type="expression" dxfId="1211" priority="1267" stopIfTrue="1">
      <formula>IF(OR(N47="Partial",N47="partial"),TRUE,FALSE)=TRUE</formula>
    </cfRule>
    <cfRule type="expression" dxfId="1210" priority="1268" stopIfTrue="1">
      <formula>IF(OR(N47="Y",N47="y"),TRUE,FALSE)=TRUE</formula>
    </cfRule>
  </conditionalFormatting>
  <conditionalFormatting sqref="N47">
    <cfRule type="cellIs" dxfId="1209" priority="1265" stopIfTrue="1" operator="equal">
      <formula>"N/A"</formula>
    </cfRule>
  </conditionalFormatting>
  <conditionalFormatting sqref="O47">
    <cfRule type="expression" dxfId="1208" priority="1262" stopIfTrue="1">
      <formula>IF(OR(O47="Y",O47="y",O47="Partial",O47="partial"),TRUE,FALSE)=FALSE</formula>
    </cfRule>
    <cfRule type="expression" dxfId="1207" priority="1263" stopIfTrue="1">
      <formula>IF(OR(O47="Partial",O47="partial"),TRUE,FALSE)=TRUE</formula>
    </cfRule>
    <cfRule type="expression" dxfId="1206" priority="1264" stopIfTrue="1">
      <formula>IF(OR(O47="Y",O47="y"),TRUE,FALSE)=TRUE</formula>
    </cfRule>
  </conditionalFormatting>
  <conditionalFormatting sqref="O47">
    <cfRule type="cellIs" dxfId="1205" priority="1261" stopIfTrue="1" operator="equal">
      <formula>"N/A"</formula>
    </cfRule>
  </conditionalFormatting>
  <conditionalFormatting sqref="P47">
    <cfRule type="expression" dxfId="1204" priority="1258" stopIfTrue="1">
      <formula>IF(OR(P47="Y",P47="y",P47="Partial",P47="partial"),TRUE,FALSE)=FALSE</formula>
    </cfRule>
    <cfRule type="expression" dxfId="1203" priority="1259" stopIfTrue="1">
      <formula>IF(OR(P47="Partial",P47="partial"),TRUE,FALSE)=TRUE</formula>
    </cfRule>
    <cfRule type="expression" dxfId="1202" priority="1260" stopIfTrue="1">
      <formula>IF(OR(P47="Y",P47="y"),TRUE,FALSE)=TRUE</formula>
    </cfRule>
  </conditionalFormatting>
  <conditionalFormatting sqref="P47">
    <cfRule type="cellIs" dxfId="1201" priority="1257" stopIfTrue="1" operator="equal">
      <formula>"N/A"</formula>
    </cfRule>
  </conditionalFormatting>
  <conditionalFormatting sqref="R47">
    <cfRule type="expression" dxfId="1200" priority="1250" stopIfTrue="1">
      <formula>IF(OR(R47="Y",R47="y",R47="Partial",R47="partial"),TRUE,FALSE)=FALSE</formula>
    </cfRule>
    <cfRule type="expression" dxfId="1199" priority="1251" stopIfTrue="1">
      <formula>IF(OR(R47="Partial",R47="partial"),TRUE,FALSE)=TRUE</formula>
    </cfRule>
    <cfRule type="expression" dxfId="1198" priority="1252" stopIfTrue="1">
      <formula>IF(OR(R47="Y",R47="y"),TRUE,FALSE)=TRUE</formula>
    </cfRule>
  </conditionalFormatting>
  <conditionalFormatting sqref="R47">
    <cfRule type="cellIs" dxfId="1197" priority="1249" stopIfTrue="1" operator="equal">
      <formula>"N/A"</formula>
    </cfRule>
  </conditionalFormatting>
  <conditionalFormatting sqref="S47">
    <cfRule type="expression" dxfId="1196" priority="1246" stopIfTrue="1">
      <formula>IF(OR(S47="Y",S47="y",S47="Partial",S47="partial"),TRUE,FALSE)=FALSE</formula>
    </cfRule>
    <cfRule type="expression" dxfId="1195" priority="1247" stopIfTrue="1">
      <formula>IF(OR(S47="Partial",S47="partial"),TRUE,FALSE)=TRUE</formula>
    </cfRule>
    <cfRule type="expression" dxfId="1194" priority="1248" stopIfTrue="1">
      <formula>IF(OR(S47="Y",S47="y"),TRUE,FALSE)=TRUE</formula>
    </cfRule>
  </conditionalFormatting>
  <conditionalFormatting sqref="S47">
    <cfRule type="cellIs" dxfId="1193" priority="1245" stopIfTrue="1" operator="equal">
      <formula>"N/A"</formula>
    </cfRule>
  </conditionalFormatting>
  <conditionalFormatting sqref="T47">
    <cfRule type="expression" dxfId="1192" priority="1242" stopIfTrue="1">
      <formula>IF(OR(T47="Y",T47="y",T47="Partial",T47="partial"),TRUE,FALSE)=FALSE</formula>
    </cfRule>
    <cfRule type="expression" dxfId="1191" priority="1243" stopIfTrue="1">
      <formula>IF(OR(T47="Partial",T47="partial"),TRUE,FALSE)=TRUE</formula>
    </cfRule>
    <cfRule type="expression" dxfId="1190" priority="1244" stopIfTrue="1">
      <formula>IF(OR(T47="Y",T47="y"),TRUE,FALSE)=TRUE</formula>
    </cfRule>
  </conditionalFormatting>
  <conditionalFormatting sqref="T47">
    <cfRule type="cellIs" dxfId="1189" priority="1241" stopIfTrue="1" operator="equal">
      <formula>"N/A"</formula>
    </cfRule>
  </conditionalFormatting>
  <conditionalFormatting sqref="U47">
    <cfRule type="expression" dxfId="1188" priority="1238" stopIfTrue="1">
      <formula>IF(OR(U47="Y",U47="y",U47="Partial",U47="partial"),TRUE,FALSE)=FALSE</formula>
    </cfRule>
    <cfRule type="expression" dxfId="1187" priority="1239" stopIfTrue="1">
      <formula>IF(OR(U47="Partial",U47="partial"),TRUE,FALSE)=TRUE</formula>
    </cfRule>
    <cfRule type="expression" dxfId="1186" priority="1240" stopIfTrue="1">
      <formula>IF(OR(U47="Y",U47="y"),TRUE,FALSE)=TRUE</formula>
    </cfRule>
  </conditionalFormatting>
  <conditionalFormatting sqref="U47">
    <cfRule type="cellIs" dxfId="1185" priority="1237" stopIfTrue="1" operator="equal">
      <formula>"N/A"</formula>
    </cfRule>
  </conditionalFormatting>
  <conditionalFormatting sqref="V47">
    <cfRule type="expression" dxfId="1184" priority="1234" stopIfTrue="1">
      <formula>IF(OR(V47="Y",V47="y",V47="Partial",V47="partial"),TRUE,FALSE)=FALSE</formula>
    </cfRule>
    <cfRule type="expression" dxfId="1183" priority="1235" stopIfTrue="1">
      <formula>IF(OR(V47="Partial",V47="partial"),TRUE,FALSE)=TRUE</formula>
    </cfRule>
    <cfRule type="expression" dxfId="1182" priority="1236" stopIfTrue="1">
      <formula>IF(OR(V47="Y",V47="y"),TRUE,FALSE)=TRUE</formula>
    </cfRule>
  </conditionalFormatting>
  <conditionalFormatting sqref="V47">
    <cfRule type="cellIs" dxfId="1181" priority="1233" stopIfTrue="1" operator="equal">
      <formula>"N/A"</formula>
    </cfRule>
  </conditionalFormatting>
  <conditionalFormatting sqref="W47">
    <cfRule type="expression" dxfId="1180" priority="1230" stopIfTrue="1">
      <formula>IF(OR(W47="Y",W47="y",W47="Partial",W47="partial"),TRUE,FALSE)=FALSE</formula>
    </cfRule>
    <cfRule type="expression" dxfId="1179" priority="1231" stopIfTrue="1">
      <formula>IF(OR(W47="Partial",W47="partial"),TRUE,FALSE)=TRUE</formula>
    </cfRule>
    <cfRule type="expression" dxfId="1178" priority="1232" stopIfTrue="1">
      <formula>IF(OR(W47="Y",W47="y"),TRUE,FALSE)=TRUE</formula>
    </cfRule>
  </conditionalFormatting>
  <conditionalFormatting sqref="W47">
    <cfRule type="cellIs" dxfId="1177" priority="1229" stopIfTrue="1" operator="equal">
      <formula>"N/A"</formula>
    </cfRule>
  </conditionalFormatting>
  <conditionalFormatting sqref="X47">
    <cfRule type="expression" dxfId="1176" priority="1226" stopIfTrue="1">
      <formula>IF(OR(X47="Y",X47="y",X47="Partial",X47="partial"),TRUE,FALSE)=FALSE</formula>
    </cfRule>
    <cfRule type="expression" dxfId="1175" priority="1227" stopIfTrue="1">
      <formula>IF(OR(X47="Partial",X47="partial"),TRUE,FALSE)=TRUE</formula>
    </cfRule>
    <cfRule type="expression" dxfId="1174" priority="1228" stopIfTrue="1">
      <formula>IF(OR(X47="Y",X47="y"),TRUE,FALSE)=TRUE</formula>
    </cfRule>
  </conditionalFormatting>
  <conditionalFormatting sqref="X47">
    <cfRule type="cellIs" dxfId="1173" priority="1225" stopIfTrue="1" operator="equal">
      <formula>"N/A"</formula>
    </cfRule>
  </conditionalFormatting>
  <conditionalFormatting sqref="H48">
    <cfRule type="expression" dxfId="1172" priority="1222" stopIfTrue="1">
      <formula>IF(OR(H48="Y",H48="y",H48="Partial",H48="partial"),TRUE,FALSE)=FALSE</formula>
    </cfRule>
    <cfRule type="expression" dxfId="1171" priority="1223" stopIfTrue="1">
      <formula>IF(OR(H48="Partial",H48="partial"),TRUE,FALSE)=TRUE</formula>
    </cfRule>
    <cfRule type="expression" dxfId="1170" priority="1224" stopIfTrue="1">
      <formula>IF(OR(H48="Y",H48="y"),TRUE,FALSE)=TRUE</formula>
    </cfRule>
  </conditionalFormatting>
  <conditionalFormatting sqref="H48">
    <cfRule type="cellIs" dxfId="1169" priority="1221" stopIfTrue="1" operator="equal">
      <formula>"N/A"</formula>
    </cfRule>
  </conditionalFormatting>
  <conditionalFormatting sqref="I48">
    <cfRule type="expression" dxfId="1168" priority="1218" stopIfTrue="1">
      <formula>IF(OR(I48="Y",I48="y",I48="Partial",I48="partial"),TRUE,FALSE)=FALSE</formula>
    </cfRule>
    <cfRule type="expression" dxfId="1167" priority="1219" stopIfTrue="1">
      <formula>IF(OR(I48="Partial",I48="partial"),TRUE,FALSE)=TRUE</formula>
    </cfRule>
    <cfRule type="expression" dxfId="1166" priority="1220" stopIfTrue="1">
      <formula>IF(OR(I48="Y",I48="y"),TRUE,FALSE)=TRUE</formula>
    </cfRule>
  </conditionalFormatting>
  <conditionalFormatting sqref="I48">
    <cfRule type="cellIs" dxfId="1165" priority="1217" stopIfTrue="1" operator="equal">
      <formula>"N/A"</formula>
    </cfRule>
  </conditionalFormatting>
  <conditionalFormatting sqref="J48">
    <cfRule type="expression" dxfId="1164" priority="1214" stopIfTrue="1">
      <formula>IF(OR(J48="Y",J48="y",J48="Partial",J48="partial"),TRUE,FALSE)=FALSE</formula>
    </cfRule>
    <cfRule type="expression" dxfId="1163" priority="1215" stopIfTrue="1">
      <formula>IF(OR(J48="Partial",J48="partial"),TRUE,FALSE)=TRUE</formula>
    </cfRule>
    <cfRule type="expression" dxfId="1162" priority="1216" stopIfTrue="1">
      <formula>IF(OR(J48="Y",J48="y"),TRUE,FALSE)=TRUE</formula>
    </cfRule>
  </conditionalFormatting>
  <conditionalFormatting sqref="J48">
    <cfRule type="cellIs" dxfId="1161" priority="1213" stopIfTrue="1" operator="equal">
      <formula>"N/A"</formula>
    </cfRule>
  </conditionalFormatting>
  <conditionalFormatting sqref="K48">
    <cfRule type="expression" dxfId="1160" priority="1210" stopIfTrue="1">
      <formula>IF(OR(K48="Y",K48="y",K48="Partial",K48="partial"),TRUE,FALSE)=FALSE</formula>
    </cfRule>
    <cfRule type="expression" dxfId="1159" priority="1211" stopIfTrue="1">
      <formula>IF(OR(K48="Partial",K48="partial"),TRUE,FALSE)=TRUE</formula>
    </cfRule>
    <cfRule type="expression" dxfId="1158" priority="1212" stopIfTrue="1">
      <formula>IF(OR(K48="Y",K48="y"),TRUE,FALSE)=TRUE</formula>
    </cfRule>
  </conditionalFormatting>
  <conditionalFormatting sqref="K48">
    <cfRule type="cellIs" dxfId="1157" priority="1209" stopIfTrue="1" operator="equal">
      <formula>"N/A"</formula>
    </cfRule>
  </conditionalFormatting>
  <conditionalFormatting sqref="L48">
    <cfRule type="expression" dxfId="1156" priority="1206" stopIfTrue="1">
      <formula>IF(OR(L48="Y",L48="y",L48="Partial",L48="partial"),TRUE,FALSE)=FALSE</formula>
    </cfRule>
    <cfRule type="expression" dxfId="1155" priority="1207" stopIfTrue="1">
      <formula>IF(OR(L48="Partial",L48="partial"),TRUE,FALSE)=TRUE</formula>
    </cfRule>
    <cfRule type="expression" dxfId="1154" priority="1208" stopIfTrue="1">
      <formula>IF(OR(L48="Y",L48="y"),TRUE,FALSE)=TRUE</formula>
    </cfRule>
  </conditionalFormatting>
  <conditionalFormatting sqref="L48">
    <cfRule type="cellIs" dxfId="1153" priority="1205" stopIfTrue="1" operator="equal">
      <formula>"N/A"</formula>
    </cfRule>
  </conditionalFormatting>
  <conditionalFormatting sqref="M48">
    <cfRule type="expression" dxfId="1152" priority="1202" stopIfTrue="1">
      <formula>IF(OR(M48="Y",M48="y",M48="Partial",M48="partial"),TRUE,FALSE)=FALSE</formula>
    </cfRule>
    <cfRule type="expression" dxfId="1151" priority="1203" stopIfTrue="1">
      <formula>IF(OR(M48="Partial",M48="partial"),TRUE,FALSE)=TRUE</formula>
    </cfRule>
    <cfRule type="expression" dxfId="1150" priority="1204" stopIfTrue="1">
      <formula>IF(OR(M48="Y",M48="y"),TRUE,FALSE)=TRUE</formula>
    </cfRule>
  </conditionalFormatting>
  <conditionalFormatting sqref="M48">
    <cfRule type="cellIs" dxfId="1149" priority="1201" stopIfTrue="1" operator="equal">
      <formula>"N/A"</formula>
    </cfRule>
  </conditionalFormatting>
  <conditionalFormatting sqref="N48">
    <cfRule type="expression" dxfId="1148" priority="1198" stopIfTrue="1">
      <formula>IF(OR(N48="Y",N48="y",N48="Partial",N48="partial"),TRUE,FALSE)=FALSE</formula>
    </cfRule>
    <cfRule type="expression" dxfId="1147" priority="1199" stopIfTrue="1">
      <formula>IF(OR(N48="Partial",N48="partial"),TRUE,FALSE)=TRUE</formula>
    </cfRule>
    <cfRule type="expression" dxfId="1146" priority="1200" stopIfTrue="1">
      <formula>IF(OR(N48="Y",N48="y"),TRUE,FALSE)=TRUE</formula>
    </cfRule>
  </conditionalFormatting>
  <conditionalFormatting sqref="N48">
    <cfRule type="cellIs" dxfId="1145" priority="1197" stopIfTrue="1" operator="equal">
      <formula>"N/A"</formula>
    </cfRule>
  </conditionalFormatting>
  <conditionalFormatting sqref="O48">
    <cfRule type="expression" dxfId="1144" priority="1194" stopIfTrue="1">
      <formula>IF(OR(O48="Y",O48="y",O48="Partial",O48="partial"),TRUE,FALSE)=FALSE</formula>
    </cfRule>
    <cfRule type="expression" dxfId="1143" priority="1195" stopIfTrue="1">
      <formula>IF(OR(O48="Partial",O48="partial"),TRUE,FALSE)=TRUE</formula>
    </cfRule>
    <cfRule type="expression" dxfId="1142" priority="1196" stopIfTrue="1">
      <formula>IF(OR(O48="Y",O48="y"),TRUE,FALSE)=TRUE</formula>
    </cfRule>
  </conditionalFormatting>
  <conditionalFormatting sqref="O48">
    <cfRule type="cellIs" dxfId="1141" priority="1193" stopIfTrue="1" operator="equal">
      <formula>"N/A"</formula>
    </cfRule>
  </conditionalFormatting>
  <conditionalFormatting sqref="P48">
    <cfRule type="expression" dxfId="1140" priority="1190" stopIfTrue="1">
      <formula>IF(OR(P48="Y",P48="y",P48="Partial",P48="partial"),TRUE,FALSE)=FALSE</formula>
    </cfRule>
    <cfRule type="expression" dxfId="1139" priority="1191" stopIfTrue="1">
      <formula>IF(OR(P48="Partial",P48="partial"),TRUE,FALSE)=TRUE</formula>
    </cfRule>
    <cfRule type="expression" dxfId="1138" priority="1192" stopIfTrue="1">
      <formula>IF(OR(P48="Y",P48="y"),TRUE,FALSE)=TRUE</formula>
    </cfRule>
  </conditionalFormatting>
  <conditionalFormatting sqref="P48">
    <cfRule type="cellIs" dxfId="1137" priority="1189" stopIfTrue="1" operator="equal">
      <formula>"N/A"</formula>
    </cfRule>
  </conditionalFormatting>
  <conditionalFormatting sqref="R48">
    <cfRule type="expression" dxfId="1136" priority="1182" stopIfTrue="1">
      <formula>IF(OR(R48="Y",R48="y",R48="Partial",R48="partial"),TRUE,FALSE)=FALSE</formula>
    </cfRule>
    <cfRule type="expression" dxfId="1135" priority="1183" stopIfTrue="1">
      <formula>IF(OR(R48="Partial",R48="partial"),TRUE,FALSE)=TRUE</formula>
    </cfRule>
    <cfRule type="expression" dxfId="1134" priority="1184" stopIfTrue="1">
      <formula>IF(OR(R48="Y",R48="y"),TRUE,FALSE)=TRUE</formula>
    </cfRule>
  </conditionalFormatting>
  <conditionalFormatting sqref="R48">
    <cfRule type="cellIs" dxfId="1133" priority="1181" stopIfTrue="1" operator="equal">
      <formula>"N/A"</formula>
    </cfRule>
  </conditionalFormatting>
  <conditionalFormatting sqref="S48">
    <cfRule type="expression" dxfId="1132" priority="1178" stopIfTrue="1">
      <formula>IF(OR(S48="Y",S48="y",S48="Partial",S48="partial"),TRUE,FALSE)=FALSE</formula>
    </cfRule>
    <cfRule type="expression" dxfId="1131" priority="1179" stopIfTrue="1">
      <formula>IF(OR(S48="Partial",S48="partial"),TRUE,FALSE)=TRUE</formula>
    </cfRule>
    <cfRule type="expression" dxfId="1130" priority="1180" stopIfTrue="1">
      <formula>IF(OR(S48="Y",S48="y"),TRUE,FALSE)=TRUE</formula>
    </cfRule>
  </conditionalFormatting>
  <conditionalFormatting sqref="S48">
    <cfRule type="cellIs" dxfId="1129" priority="1177" stopIfTrue="1" operator="equal">
      <formula>"N/A"</formula>
    </cfRule>
  </conditionalFormatting>
  <conditionalFormatting sqref="T48">
    <cfRule type="expression" dxfId="1128" priority="1174" stopIfTrue="1">
      <formula>IF(OR(T48="Y",T48="y",T48="Partial",T48="partial"),TRUE,FALSE)=FALSE</formula>
    </cfRule>
    <cfRule type="expression" dxfId="1127" priority="1175" stopIfTrue="1">
      <formula>IF(OR(T48="Partial",T48="partial"),TRUE,FALSE)=TRUE</formula>
    </cfRule>
    <cfRule type="expression" dxfId="1126" priority="1176" stopIfTrue="1">
      <formula>IF(OR(T48="Y",T48="y"),TRUE,FALSE)=TRUE</formula>
    </cfRule>
  </conditionalFormatting>
  <conditionalFormatting sqref="T48">
    <cfRule type="cellIs" dxfId="1125" priority="1173" stopIfTrue="1" operator="equal">
      <formula>"N/A"</formula>
    </cfRule>
  </conditionalFormatting>
  <conditionalFormatting sqref="U48">
    <cfRule type="expression" dxfId="1124" priority="1170" stopIfTrue="1">
      <formula>IF(OR(U48="Y",U48="y",U48="Partial",U48="partial"),TRUE,FALSE)=FALSE</formula>
    </cfRule>
    <cfRule type="expression" dxfId="1123" priority="1171" stopIfTrue="1">
      <formula>IF(OR(U48="Partial",U48="partial"),TRUE,FALSE)=TRUE</formula>
    </cfRule>
    <cfRule type="expression" dxfId="1122" priority="1172" stopIfTrue="1">
      <formula>IF(OR(U48="Y",U48="y"),TRUE,FALSE)=TRUE</formula>
    </cfRule>
  </conditionalFormatting>
  <conditionalFormatting sqref="U48">
    <cfRule type="cellIs" dxfId="1121" priority="1169" stopIfTrue="1" operator="equal">
      <formula>"N/A"</formula>
    </cfRule>
  </conditionalFormatting>
  <conditionalFormatting sqref="V48">
    <cfRule type="expression" dxfId="1120" priority="1166" stopIfTrue="1">
      <formula>IF(OR(V48="Y",V48="y",V48="Partial",V48="partial"),TRUE,FALSE)=FALSE</formula>
    </cfRule>
    <cfRule type="expression" dxfId="1119" priority="1167" stopIfTrue="1">
      <formula>IF(OR(V48="Partial",V48="partial"),TRUE,FALSE)=TRUE</formula>
    </cfRule>
    <cfRule type="expression" dxfId="1118" priority="1168" stopIfTrue="1">
      <formula>IF(OR(V48="Y",V48="y"),TRUE,FALSE)=TRUE</formula>
    </cfRule>
  </conditionalFormatting>
  <conditionalFormatting sqref="V48">
    <cfRule type="cellIs" dxfId="1117" priority="1165" stopIfTrue="1" operator="equal">
      <formula>"N/A"</formula>
    </cfRule>
  </conditionalFormatting>
  <conditionalFormatting sqref="W48">
    <cfRule type="expression" dxfId="1116" priority="1162" stopIfTrue="1">
      <formula>IF(OR(W48="Y",W48="y",W48="Partial",W48="partial"),TRUE,FALSE)=FALSE</formula>
    </cfRule>
    <cfRule type="expression" dxfId="1115" priority="1163" stopIfTrue="1">
      <formula>IF(OR(W48="Partial",W48="partial"),TRUE,FALSE)=TRUE</formula>
    </cfRule>
    <cfRule type="expression" dxfId="1114" priority="1164" stopIfTrue="1">
      <formula>IF(OR(W48="Y",W48="y"),TRUE,FALSE)=TRUE</formula>
    </cfRule>
  </conditionalFormatting>
  <conditionalFormatting sqref="W48">
    <cfRule type="cellIs" dxfId="1113" priority="1161" stopIfTrue="1" operator="equal">
      <formula>"N/A"</formula>
    </cfRule>
  </conditionalFormatting>
  <conditionalFormatting sqref="X48">
    <cfRule type="expression" dxfId="1112" priority="1158" stopIfTrue="1">
      <formula>IF(OR(X48="Y",X48="y",X48="Partial",X48="partial"),TRUE,FALSE)=FALSE</formula>
    </cfRule>
    <cfRule type="expression" dxfId="1111" priority="1159" stopIfTrue="1">
      <formula>IF(OR(X48="Partial",X48="partial"),TRUE,FALSE)=TRUE</formula>
    </cfRule>
    <cfRule type="expression" dxfId="1110" priority="1160" stopIfTrue="1">
      <formula>IF(OR(X48="Y",X48="y"),TRUE,FALSE)=TRUE</formula>
    </cfRule>
  </conditionalFormatting>
  <conditionalFormatting sqref="X48">
    <cfRule type="cellIs" dxfId="1109" priority="1157" stopIfTrue="1" operator="equal">
      <formula>"N/A"</formula>
    </cfRule>
  </conditionalFormatting>
  <conditionalFormatting sqref="H49">
    <cfRule type="expression" dxfId="1108" priority="1154" stopIfTrue="1">
      <formula>IF(OR(H49="Y",H49="y",H49="Partial",H49="partial"),TRUE,FALSE)=FALSE</formula>
    </cfRule>
    <cfRule type="expression" dxfId="1107" priority="1155" stopIfTrue="1">
      <formula>IF(OR(H49="Partial",H49="partial"),TRUE,FALSE)=TRUE</formula>
    </cfRule>
    <cfRule type="expression" dxfId="1106" priority="1156" stopIfTrue="1">
      <formula>IF(OR(H49="Y",H49="y"),TRUE,FALSE)=TRUE</formula>
    </cfRule>
  </conditionalFormatting>
  <conditionalFormatting sqref="H49">
    <cfRule type="cellIs" dxfId="1105" priority="1153" stopIfTrue="1" operator="equal">
      <formula>"N/A"</formula>
    </cfRule>
  </conditionalFormatting>
  <conditionalFormatting sqref="I49">
    <cfRule type="expression" dxfId="1104" priority="1150" stopIfTrue="1">
      <formula>IF(OR(I49="Y",I49="y",I49="Partial",I49="partial"),TRUE,FALSE)=FALSE</formula>
    </cfRule>
    <cfRule type="expression" dxfId="1103" priority="1151" stopIfTrue="1">
      <formula>IF(OR(I49="Partial",I49="partial"),TRUE,FALSE)=TRUE</formula>
    </cfRule>
    <cfRule type="expression" dxfId="1102" priority="1152" stopIfTrue="1">
      <formula>IF(OR(I49="Y",I49="y"),TRUE,FALSE)=TRUE</formula>
    </cfRule>
  </conditionalFormatting>
  <conditionalFormatting sqref="I49">
    <cfRule type="cellIs" dxfId="1101" priority="1149" stopIfTrue="1" operator="equal">
      <formula>"N/A"</formula>
    </cfRule>
  </conditionalFormatting>
  <conditionalFormatting sqref="J49">
    <cfRule type="expression" dxfId="1100" priority="1146" stopIfTrue="1">
      <formula>IF(OR(J49="Y",J49="y",J49="Partial",J49="partial"),TRUE,FALSE)=FALSE</formula>
    </cfRule>
    <cfRule type="expression" dxfId="1099" priority="1147" stopIfTrue="1">
      <formula>IF(OR(J49="Partial",J49="partial"),TRUE,FALSE)=TRUE</formula>
    </cfRule>
    <cfRule type="expression" dxfId="1098" priority="1148" stopIfTrue="1">
      <formula>IF(OR(J49="Y",J49="y"),TRUE,FALSE)=TRUE</formula>
    </cfRule>
  </conditionalFormatting>
  <conditionalFormatting sqref="J49">
    <cfRule type="cellIs" dxfId="1097" priority="1145" stopIfTrue="1" operator="equal">
      <formula>"N/A"</formula>
    </cfRule>
  </conditionalFormatting>
  <conditionalFormatting sqref="K49">
    <cfRule type="expression" dxfId="1096" priority="1142" stopIfTrue="1">
      <formula>IF(OR(K49="Y",K49="y",K49="Partial",K49="partial"),TRUE,FALSE)=FALSE</formula>
    </cfRule>
    <cfRule type="expression" dxfId="1095" priority="1143" stopIfTrue="1">
      <formula>IF(OR(K49="Partial",K49="partial"),TRUE,FALSE)=TRUE</formula>
    </cfRule>
    <cfRule type="expression" dxfId="1094" priority="1144" stopIfTrue="1">
      <formula>IF(OR(K49="Y",K49="y"),TRUE,FALSE)=TRUE</formula>
    </cfRule>
  </conditionalFormatting>
  <conditionalFormatting sqref="K49">
    <cfRule type="cellIs" dxfId="1093" priority="1141" stopIfTrue="1" operator="equal">
      <formula>"N/A"</formula>
    </cfRule>
  </conditionalFormatting>
  <conditionalFormatting sqref="L49">
    <cfRule type="expression" dxfId="1092" priority="1138" stopIfTrue="1">
      <formula>IF(OR(L49="Y",L49="y",L49="Partial",L49="partial"),TRUE,FALSE)=FALSE</formula>
    </cfRule>
    <cfRule type="expression" dxfId="1091" priority="1139" stopIfTrue="1">
      <formula>IF(OR(L49="Partial",L49="partial"),TRUE,FALSE)=TRUE</formula>
    </cfRule>
    <cfRule type="expression" dxfId="1090" priority="1140" stopIfTrue="1">
      <formula>IF(OR(L49="Y",L49="y"),TRUE,FALSE)=TRUE</formula>
    </cfRule>
  </conditionalFormatting>
  <conditionalFormatting sqref="L49">
    <cfRule type="cellIs" dxfId="1089" priority="1137" stopIfTrue="1" operator="equal">
      <formula>"N/A"</formula>
    </cfRule>
  </conditionalFormatting>
  <conditionalFormatting sqref="M49">
    <cfRule type="expression" dxfId="1088" priority="1134" stopIfTrue="1">
      <formula>IF(OR(M49="Y",M49="y",M49="Partial",M49="partial"),TRUE,FALSE)=FALSE</formula>
    </cfRule>
    <cfRule type="expression" dxfId="1087" priority="1135" stopIfTrue="1">
      <formula>IF(OR(M49="Partial",M49="partial"),TRUE,FALSE)=TRUE</formula>
    </cfRule>
    <cfRule type="expression" dxfId="1086" priority="1136" stopIfTrue="1">
      <formula>IF(OR(M49="Y",M49="y"),TRUE,FALSE)=TRUE</formula>
    </cfRule>
  </conditionalFormatting>
  <conditionalFormatting sqref="M49">
    <cfRule type="cellIs" dxfId="1085" priority="1133" stopIfTrue="1" operator="equal">
      <formula>"N/A"</formula>
    </cfRule>
  </conditionalFormatting>
  <conditionalFormatting sqref="N49">
    <cfRule type="expression" dxfId="1084" priority="1130" stopIfTrue="1">
      <formula>IF(OR(N49="Y",N49="y",N49="Partial",N49="partial"),TRUE,FALSE)=FALSE</formula>
    </cfRule>
    <cfRule type="expression" dxfId="1083" priority="1131" stopIfTrue="1">
      <formula>IF(OR(N49="Partial",N49="partial"),TRUE,FALSE)=TRUE</formula>
    </cfRule>
    <cfRule type="expression" dxfId="1082" priority="1132" stopIfTrue="1">
      <formula>IF(OR(N49="Y",N49="y"),TRUE,FALSE)=TRUE</formula>
    </cfRule>
  </conditionalFormatting>
  <conditionalFormatting sqref="N49">
    <cfRule type="cellIs" dxfId="1081" priority="1129" stopIfTrue="1" operator="equal">
      <formula>"N/A"</formula>
    </cfRule>
  </conditionalFormatting>
  <conditionalFormatting sqref="O49">
    <cfRule type="expression" dxfId="1080" priority="1126" stopIfTrue="1">
      <formula>IF(OR(O49="Y",O49="y",O49="Partial",O49="partial"),TRUE,FALSE)=FALSE</formula>
    </cfRule>
    <cfRule type="expression" dxfId="1079" priority="1127" stopIfTrue="1">
      <formula>IF(OR(O49="Partial",O49="partial"),TRUE,FALSE)=TRUE</formula>
    </cfRule>
    <cfRule type="expression" dxfId="1078" priority="1128" stopIfTrue="1">
      <formula>IF(OR(O49="Y",O49="y"),TRUE,FALSE)=TRUE</formula>
    </cfRule>
  </conditionalFormatting>
  <conditionalFormatting sqref="O49">
    <cfRule type="cellIs" dxfId="1077" priority="1125" stopIfTrue="1" operator="equal">
      <formula>"N/A"</formula>
    </cfRule>
  </conditionalFormatting>
  <conditionalFormatting sqref="P49">
    <cfRule type="expression" dxfId="1076" priority="1122" stopIfTrue="1">
      <formula>IF(OR(P49="Y",P49="y",P49="Partial",P49="partial"),TRUE,FALSE)=FALSE</formula>
    </cfRule>
    <cfRule type="expression" dxfId="1075" priority="1123" stopIfTrue="1">
      <formula>IF(OR(P49="Partial",P49="partial"),TRUE,FALSE)=TRUE</formula>
    </cfRule>
    <cfRule type="expression" dxfId="1074" priority="1124" stopIfTrue="1">
      <formula>IF(OR(P49="Y",P49="y"),TRUE,FALSE)=TRUE</formula>
    </cfRule>
  </conditionalFormatting>
  <conditionalFormatting sqref="P49">
    <cfRule type="cellIs" dxfId="1073" priority="1121" stopIfTrue="1" operator="equal">
      <formula>"N/A"</formula>
    </cfRule>
  </conditionalFormatting>
  <conditionalFormatting sqref="R49">
    <cfRule type="expression" dxfId="1072" priority="1114" stopIfTrue="1">
      <formula>IF(OR(R49="Y",R49="y",R49="Partial",R49="partial"),TRUE,FALSE)=FALSE</formula>
    </cfRule>
    <cfRule type="expression" dxfId="1071" priority="1115" stopIfTrue="1">
      <formula>IF(OR(R49="Partial",R49="partial"),TRUE,FALSE)=TRUE</formula>
    </cfRule>
    <cfRule type="expression" dxfId="1070" priority="1116" stopIfTrue="1">
      <formula>IF(OR(R49="Y",R49="y"),TRUE,FALSE)=TRUE</formula>
    </cfRule>
  </conditionalFormatting>
  <conditionalFormatting sqref="R49">
    <cfRule type="cellIs" dxfId="1069" priority="1113" stopIfTrue="1" operator="equal">
      <formula>"N/A"</formula>
    </cfRule>
  </conditionalFormatting>
  <conditionalFormatting sqref="S49">
    <cfRule type="expression" dxfId="1068" priority="1110" stopIfTrue="1">
      <formula>IF(OR(S49="Y",S49="y",S49="Partial",S49="partial"),TRUE,FALSE)=FALSE</formula>
    </cfRule>
    <cfRule type="expression" dxfId="1067" priority="1111" stopIfTrue="1">
      <formula>IF(OR(S49="Partial",S49="partial"),TRUE,FALSE)=TRUE</formula>
    </cfRule>
    <cfRule type="expression" dxfId="1066" priority="1112" stopIfTrue="1">
      <formula>IF(OR(S49="Y",S49="y"),TRUE,FALSE)=TRUE</formula>
    </cfRule>
  </conditionalFormatting>
  <conditionalFormatting sqref="S49">
    <cfRule type="cellIs" dxfId="1065" priority="1109" stopIfTrue="1" operator="equal">
      <formula>"N/A"</formula>
    </cfRule>
  </conditionalFormatting>
  <conditionalFormatting sqref="T49">
    <cfRule type="expression" dxfId="1064" priority="1106" stopIfTrue="1">
      <formula>IF(OR(T49="Y",T49="y",T49="Partial",T49="partial"),TRUE,FALSE)=FALSE</formula>
    </cfRule>
    <cfRule type="expression" dxfId="1063" priority="1107" stopIfTrue="1">
      <formula>IF(OR(T49="Partial",T49="partial"),TRUE,FALSE)=TRUE</formula>
    </cfRule>
    <cfRule type="expression" dxfId="1062" priority="1108" stopIfTrue="1">
      <formula>IF(OR(T49="Y",T49="y"),TRUE,FALSE)=TRUE</formula>
    </cfRule>
  </conditionalFormatting>
  <conditionalFormatting sqref="T49">
    <cfRule type="cellIs" dxfId="1061" priority="1105" stopIfTrue="1" operator="equal">
      <formula>"N/A"</formula>
    </cfRule>
  </conditionalFormatting>
  <conditionalFormatting sqref="U49">
    <cfRule type="expression" dxfId="1060" priority="1102" stopIfTrue="1">
      <formula>IF(OR(U49="Y",U49="y",U49="Partial",U49="partial"),TRUE,FALSE)=FALSE</formula>
    </cfRule>
    <cfRule type="expression" dxfId="1059" priority="1103" stopIfTrue="1">
      <formula>IF(OR(U49="Partial",U49="partial"),TRUE,FALSE)=TRUE</formula>
    </cfRule>
    <cfRule type="expression" dxfId="1058" priority="1104" stopIfTrue="1">
      <formula>IF(OR(U49="Y",U49="y"),TRUE,FALSE)=TRUE</formula>
    </cfRule>
  </conditionalFormatting>
  <conditionalFormatting sqref="U49">
    <cfRule type="cellIs" dxfId="1057" priority="1101" stopIfTrue="1" operator="equal">
      <formula>"N/A"</formula>
    </cfRule>
  </conditionalFormatting>
  <conditionalFormatting sqref="V49">
    <cfRule type="expression" dxfId="1056" priority="1098" stopIfTrue="1">
      <formula>IF(OR(V49="Y",V49="y",V49="Partial",V49="partial"),TRUE,FALSE)=FALSE</formula>
    </cfRule>
    <cfRule type="expression" dxfId="1055" priority="1099" stopIfTrue="1">
      <formula>IF(OR(V49="Partial",V49="partial"),TRUE,FALSE)=TRUE</formula>
    </cfRule>
    <cfRule type="expression" dxfId="1054" priority="1100" stopIfTrue="1">
      <formula>IF(OR(V49="Y",V49="y"),TRUE,FALSE)=TRUE</formula>
    </cfRule>
  </conditionalFormatting>
  <conditionalFormatting sqref="V49">
    <cfRule type="cellIs" dxfId="1053" priority="1097" stopIfTrue="1" operator="equal">
      <formula>"N/A"</formula>
    </cfRule>
  </conditionalFormatting>
  <conditionalFormatting sqref="W49">
    <cfRule type="expression" dxfId="1052" priority="1094" stopIfTrue="1">
      <formula>IF(OR(W49="Y",W49="y",W49="Partial",W49="partial"),TRUE,FALSE)=FALSE</formula>
    </cfRule>
    <cfRule type="expression" dxfId="1051" priority="1095" stopIfTrue="1">
      <formula>IF(OR(W49="Partial",W49="partial"),TRUE,FALSE)=TRUE</formula>
    </cfRule>
    <cfRule type="expression" dxfId="1050" priority="1096" stopIfTrue="1">
      <formula>IF(OR(W49="Y",W49="y"),TRUE,FALSE)=TRUE</formula>
    </cfRule>
  </conditionalFormatting>
  <conditionalFormatting sqref="W49">
    <cfRule type="cellIs" dxfId="1049" priority="1093" stopIfTrue="1" operator="equal">
      <formula>"N/A"</formula>
    </cfRule>
  </conditionalFormatting>
  <conditionalFormatting sqref="X49">
    <cfRule type="expression" dxfId="1048" priority="1090" stopIfTrue="1">
      <formula>IF(OR(X49="Y",X49="y",X49="Partial",X49="partial"),TRUE,FALSE)=FALSE</formula>
    </cfRule>
    <cfRule type="expression" dxfId="1047" priority="1091" stopIfTrue="1">
      <formula>IF(OR(X49="Partial",X49="partial"),TRUE,FALSE)=TRUE</formula>
    </cfRule>
    <cfRule type="expression" dxfId="1046" priority="1092" stopIfTrue="1">
      <formula>IF(OR(X49="Y",X49="y"),TRUE,FALSE)=TRUE</formula>
    </cfRule>
  </conditionalFormatting>
  <conditionalFormatting sqref="X49">
    <cfRule type="cellIs" dxfId="1045" priority="1089" stopIfTrue="1" operator="equal">
      <formula>"N/A"</formula>
    </cfRule>
  </conditionalFormatting>
  <conditionalFormatting sqref="H50">
    <cfRule type="expression" dxfId="1044" priority="1086" stopIfTrue="1">
      <formula>IF(OR(H50="Y",H50="y",H50="Partial",H50="partial"),TRUE,FALSE)=FALSE</formula>
    </cfRule>
    <cfRule type="expression" dxfId="1043" priority="1087" stopIfTrue="1">
      <formula>IF(OR(H50="Partial",H50="partial"),TRUE,FALSE)=TRUE</formula>
    </cfRule>
    <cfRule type="expression" dxfId="1042" priority="1088" stopIfTrue="1">
      <formula>IF(OR(H50="Y",H50="y"),TRUE,FALSE)=TRUE</formula>
    </cfRule>
  </conditionalFormatting>
  <conditionalFormatting sqref="H50">
    <cfRule type="cellIs" dxfId="1041" priority="1085" stopIfTrue="1" operator="equal">
      <formula>"N/A"</formula>
    </cfRule>
  </conditionalFormatting>
  <conditionalFormatting sqref="I50">
    <cfRule type="expression" dxfId="1040" priority="1082" stopIfTrue="1">
      <formula>IF(OR(I50="Y",I50="y",I50="Partial",I50="partial"),TRUE,FALSE)=FALSE</formula>
    </cfRule>
    <cfRule type="expression" dxfId="1039" priority="1083" stopIfTrue="1">
      <formula>IF(OR(I50="Partial",I50="partial"),TRUE,FALSE)=TRUE</formula>
    </cfRule>
    <cfRule type="expression" dxfId="1038" priority="1084" stopIfTrue="1">
      <formula>IF(OR(I50="Y",I50="y"),TRUE,FALSE)=TRUE</formula>
    </cfRule>
  </conditionalFormatting>
  <conditionalFormatting sqref="I50">
    <cfRule type="cellIs" dxfId="1037" priority="1081" stopIfTrue="1" operator="equal">
      <formula>"N/A"</formula>
    </cfRule>
  </conditionalFormatting>
  <conditionalFormatting sqref="J50">
    <cfRule type="expression" dxfId="1036" priority="1078" stopIfTrue="1">
      <formula>IF(OR(J50="Y",J50="y",J50="Partial",J50="partial"),TRUE,FALSE)=FALSE</formula>
    </cfRule>
    <cfRule type="expression" dxfId="1035" priority="1079" stopIfTrue="1">
      <formula>IF(OR(J50="Partial",J50="partial"),TRUE,FALSE)=TRUE</formula>
    </cfRule>
    <cfRule type="expression" dxfId="1034" priority="1080" stopIfTrue="1">
      <formula>IF(OR(J50="Y",J50="y"),TRUE,FALSE)=TRUE</formula>
    </cfRule>
  </conditionalFormatting>
  <conditionalFormatting sqref="J50">
    <cfRule type="cellIs" dxfId="1033" priority="1077" stopIfTrue="1" operator="equal">
      <formula>"N/A"</formula>
    </cfRule>
  </conditionalFormatting>
  <conditionalFormatting sqref="K50">
    <cfRule type="expression" dxfId="1032" priority="1074" stopIfTrue="1">
      <formula>IF(OR(K50="Y",K50="y",K50="Partial",K50="partial"),TRUE,FALSE)=FALSE</formula>
    </cfRule>
    <cfRule type="expression" dxfId="1031" priority="1075" stopIfTrue="1">
      <formula>IF(OR(K50="Partial",K50="partial"),TRUE,FALSE)=TRUE</formula>
    </cfRule>
    <cfRule type="expression" dxfId="1030" priority="1076" stopIfTrue="1">
      <formula>IF(OR(K50="Y",K50="y"),TRUE,FALSE)=TRUE</formula>
    </cfRule>
  </conditionalFormatting>
  <conditionalFormatting sqref="K50">
    <cfRule type="cellIs" dxfId="1029" priority="1073" stopIfTrue="1" operator="equal">
      <formula>"N/A"</formula>
    </cfRule>
  </conditionalFormatting>
  <conditionalFormatting sqref="L50">
    <cfRule type="expression" dxfId="1028" priority="1070" stopIfTrue="1">
      <formula>IF(OR(L50="Y",L50="y",L50="Partial",L50="partial"),TRUE,FALSE)=FALSE</formula>
    </cfRule>
    <cfRule type="expression" dxfId="1027" priority="1071" stopIfTrue="1">
      <formula>IF(OR(L50="Partial",L50="partial"),TRUE,FALSE)=TRUE</formula>
    </cfRule>
    <cfRule type="expression" dxfId="1026" priority="1072" stopIfTrue="1">
      <formula>IF(OR(L50="Y",L50="y"),TRUE,FALSE)=TRUE</formula>
    </cfRule>
  </conditionalFormatting>
  <conditionalFormatting sqref="L50">
    <cfRule type="cellIs" dxfId="1025" priority="1069" stopIfTrue="1" operator="equal">
      <formula>"N/A"</formula>
    </cfRule>
  </conditionalFormatting>
  <conditionalFormatting sqref="M50">
    <cfRule type="expression" dxfId="1024" priority="1066" stopIfTrue="1">
      <formula>IF(OR(M50="Y",M50="y",M50="Partial",M50="partial"),TRUE,FALSE)=FALSE</formula>
    </cfRule>
    <cfRule type="expression" dxfId="1023" priority="1067" stopIfTrue="1">
      <formula>IF(OR(M50="Partial",M50="partial"),TRUE,FALSE)=TRUE</formula>
    </cfRule>
    <cfRule type="expression" dxfId="1022" priority="1068" stopIfTrue="1">
      <formula>IF(OR(M50="Y",M50="y"),TRUE,FALSE)=TRUE</formula>
    </cfRule>
  </conditionalFormatting>
  <conditionalFormatting sqref="M50">
    <cfRule type="cellIs" dxfId="1021" priority="1065" stopIfTrue="1" operator="equal">
      <formula>"N/A"</formula>
    </cfRule>
  </conditionalFormatting>
  <conditionalFormatting sqref="N50">
    <cfRule type="expression" dxfId="1020" priority="1062" stopIfTrue="1">
      <formula>IF(OR(N50="Y",N50="y",N50="Partial",N50="partial"),TRUE,FALSE)=FALSE</formula>
    </cfRule>
    <cfRule type="expression" dxfId="1019" priority="1063" stopIfTrue="1">
      <formula>IF(OR(N50="Partial",N50="partial"),TRUE,FALSE)=TRUE</formula>
    </cfRule>
    <cfRule type="expression" dxfId="1018" priority="1064" stopIfTrue="1">
      <formula>IF(OR(N50="Y",N50="y"),TRUE,FALSE)=TRUE</formula>
    </cfRule>
  </conditionalFormatting>
  <conditionalFormatting sqref="N50">
    <cfRule type="cellIs" dxfId="1017" priority="1061" stopIfTrue="1" operator="equal">
      <formula>"N/A"</formula>
    </cfRule>
  </conditionalFormatting>
  <conditionalFormatting sqref="O50">
    <cfRule type="expression" dxfId="1016" priority="1058" stopIfTrue="1">
      <formula>IF(OR(O50="Y",O50="y",O50="Partial",O50="partial"),TRUE,FALSE)=FALSE</formula>
    </cfRule>
    <cfRule type="expression" dxfId="1015" priority="1059" stopIfTrue="1">
      <formula>IF(OR(O50="Partial",O50="partial"),TRUE,FALSE)=TRUE</formula>
    </cfRule>
    <cfRule type="expression" dxfId="1014" priority="1060" stopIfTrue="1">
      <formula>IF(OR(O50="Y",O50="y"),TRUE,FALSE)=TRUE</formula>
    </cfRule>
  </conditionalFormatting>
  <conditionalFormatting sqref="O50">
    <cfRule type="cellIs" dxfId="1013" priority="1057" stopIfTrue="1" operator="equal">
      <formula>"N/A"</formula>
    </cfRule>
  </conditionalFormatting>
  <conditionalFormatting sqref="P50">
    <cfRule type="expression" dxfId="1012" priority="1054" stopIfTrue="1">
      <formula>IF(OR(P50="Y",P50="y",P50="Partial",P50="partial"),TRUE,FALSE)=FALSE</formula>
    </cfRule>
    <cfRule type="expression" dxfId="1011" priority="1055" stopIfTrue="1">
      <formula>IF(OR(P50="Partial",P50="partial"),TRUE,FALSE)=TRUE</formula>
    </cfRule>
    <cfRule type="expression" dxfId="1010" priority="1056" stopIfTrue="1">
      <formula>IF(OR(P50="Y",P50="y"),TRUE,FALSE)=TRUE</formula>
    </cfRule>
  </conditionalFormatting>
  <conditionalFormatting sqref="P50">
    <cfRule type="cellIs" dxfId="1009" priority="1053" stopIfTrue="1" operator="equal">
      <formula>"N/A"</formula>
    </cfRule>
  </conditionalFormatting>
  <conditionalFormatting sqref="R50">
    <cfRule type="expression" dxfId="1008" priority="1046" stopIfTrue="1">
      <formula>IF(OR(R50="Y",R50="y",R50="Partial",R50="partial"),TRUE,FALSE)=FALSE</formula>
    </cfRule>
    <cfRule type="expression" dxfId="1007" priority="1047" stopIfTrue="1">
      <formula>IF(OR(R50="Partial",R50="partial"),TRUE,FALSE)=TRUE</formula>
    </cfRule>
    <cfRule type="expression" dxfId="1006" priority="1048" stopIfTrue="1">
      <formula>IF(OR(R50="Y",R50="y"),TRUE,FALSE)=TRUE</formula>
    </cfRule>
  </conditionalFormatting>
  <conditionalFormatting sqref="R50">
    <cfRule type="cellIs" dxfId="1005" priority="1045" stopIfTrue="1" operator="equal">
      <formula>"N/A"</formula>
    </cfRule>
  </conditionalFormatting>
  <conditionalFormatting sqref="S50">
    <cfRule type="expression" dxfId="1004" priority="1042" stopIfTrue="1">
      <formula>IF(OR(S50="Y",S50="y",S50="Partial",S50="partial"),TRUE,FALSE)=FALSE</formula>
    </cfRule>
    <cfRule type="expression" dxfId="1003" priority="1043" stopIfTrue="1">
      <formula>IF(OR(S50="Partial",S50="partial"),TRUE,FALSE)=TRUE</formula>
    </cfRule>
    <cfRule type="expression" dxfId="1002" priority="1044" stopIfTrue="1">
      <formula>IF(OR(S50="Y",S50="y"),TRUE,FALSE)=TRUE</formula>
    </cfRule>
  </conditionalFormatting>
  <conditionalFormatting sqref="S50">
    <cfRule type="cellIs" dxfId="1001" priority="1041" stopIfTrue="1" operator="equal">
      <formula>"N/A"</formula>
    </cfRule>
  </conditionalFormatting>
  <conditionalFormatting sqref="T50">
    <cfRule type="expression" dxfId="1000" priority="1038" stopIfTrue="1">
      <formula>IF(OR(T50="Y",T50="y",T50="Partial",T50="partial"),TRUE,FALSE)=FALSE</formula>
    </cfRule>
    <cfRule type="expression" dxfId="999" priority="1039" stopIfTrue="1">
      <formula>IF(OR(T50="Partial",T50="partial"),TRUE,FALSE)=TRUE</formula>
    </cfRule>
    <cfRule type="expression" dxfId="998" priority="1040" stopIfTrue="1">
      <formula>IF(OR(T50="Y",T50="y"),TRUE,FALSE)=TRUE</formula>
    </cfRule>
  </conditionalFormatting>
  <conditionalFormatting sqref="T50">
    <cfRule type="cellIs" dxfId="997" priority="1037" stopIfTrue="1" operator="equal">
      <formula>"N/A"</formula>
    </cfRule>
  </conditionalFormatting>
  <conditionalFormatting sqref="U50">
    <cfRule type="expression" dxfId="996" priority="1034" stopIfTrue="1">
      <formula>IF(OR(U50="Y",U50="y",U50="Partial",U50="partial"),TRUE,FALSE)=FALSE</formula>
    </cfRule>
    <cfRule type="expression" dxfId="995" priority="1035" stopIfTrue="1">
      <formula>IF(OR(U50="Partial",U50="partial"),TRUE,FALSE)=TRUE</formula>
    </cfRule>
    <cfRule type="expression" dxfId="994" priority="1036" stopIfTrue="1">
      <formula>IF(OR(U50="Y",U50="y"),TRUE,FALSE)=TRUE</formula>
    </cfRule>
  </conditionalFormatting>
  <conditionalFormatting sqref="U50">
    <cfRule type="cellIs" dxfId="993" priority="1033" stopIfTrue="1" operator="equal">
      <formula>"N/A"</formula>
    </cfRule>
  </conditionalFormatting>
  <conditionalFormatting sqref="V50">
    <cfRule type="expression" dxfId="992" priority="1030" stopIfTrue="1">
      <formula>IF(OR(V50="Y",V50="y",V50="Partial",V50="partial"),TRUE,FALSE)=FALSE</formula>
    </cfRule>
    <cfRule type="expression" dxfId="991" priority="1031" stopIfTrue="1">
      <formula>IF(OR(V50="Partial",V50="partial"),TRUE,FALSE)=TRUE</formula>
    </cfRule>
    <cfRule type="expression" dxfId="990" priority="1032" stopIfTrue="1">
      <formula>IF(OR(V50="Y",V50="y"),TRUE,FALSE)=TRUE</formula>
    </cfRule>
  </conditionalFormatting>
  <conditionalFormatting sqref="V50">
    <cfRule type="cellIs" dxfId="989" priority="1029" stopIfTrue="1" operator="equal">
      <formula>"N/A"</formula>
    </cfRule>
  </conditionalFormatting>
  <conditionalFormatting sqref="W50">
    <cfRule type="expression" dxfId="988" priority="1026" stopIfTrue="1">
      <formula>IF(OR(W50="Y",W50="y",W50="Partial",W50="partial"),TRUE,FALSE)=FALSE</formula>
    </cfRule>
    <cfRule type="expression" dxfId="987" priority="1027" stopIfTrue="1">
      <formula>IF(OR(W50="Partial",W50="partial"),TRUE,FALSE)=TRUE</formula>
    </cfRule>
    <cfRule type="expression" dxfId="986" priority="1028" stopIfTrue="1">
      <formula>IF(OR(W50="Y",W50="y"),TRUE,FALSE)=TRUE</formula>
    </cfRule>
  </conditionalFormatting>
  <conditionalFormatting sqref="W50">
    <cfRule type="cellIs" dxfId="985" priority="1025" stopIfTrue="1" operator="equal">
      <formula>"N/A"</formula>
    </cfRule>
  </conditionalFormatting>
  <conditionalFormatting sqref="X50">
    <cfRule type="expression" dxfId="984" priority="1022" stopIfTrue="1">
      <formula>IF(OR(X50="Y",X50="y",X50="Partial",X50="partial"),TRUE,FALSE)=FALSE</formula>
    </cfRule>
    <cfRule type="expression" dxfId="983" priority="1023" stopIfTrue="1">
      <formula>IF(OR(X50="Partial",X50="partial"),TRUE,FALSE)=TRUE</formula>
    </cfRule>
    <cfRule type="expression" dxfId="982" priority="1024" stopIfTrue="1">
      <formula>IF(OR(X50="Y",X50="y"),TRUE,FALSE)=TRUE</formula>
    </cfRule>
  </conditionalFormatting>
  <conditionalFormatting sqref="X50">
    <cfRule type="cellIs" dxfId="981" priority="1021" stopIfTrue="1" operator="equal">
      <formula>"N/A"</formula>
    </cfRule>
  </conditionalFormatting>
  <conditionalFormatting sqref="H51">
    <cfRule type="expression" dxfId="980" priority="1018" stopIfTrue="1">
      <formula>IF(OR(H51="Y",H51="y",H51="Partial",H51="partial"),TRUE,FALSE)=FALSE</formula>
    </cfRule>
    <cfRule type="expression" dxfId="979" priority="1019" stopIfTrue="1">
      <formula>IF(OR(H51="Partial",H51="partial"),TRUE,FALSE)=TRUE</formula>
    </cfRule>
    <cfRule type="expression" dxfId="978" priority="1020" stopIfTrue="1">
      <formula>IF(OR(H51="Y",H51="y"),TRUE,FALSE)=TRUE</formula>
    </cfRule>
  </conditionalFormatting>
  <conditionalFormatting sqref="H51">
    <cfRule type="cellIs" dxfId="977" priority="1017" stopIfTrue="1" operator="equal">
      <formula>"N/A"</formula>
    </cfRule>
  </conditionalFormatting>
  <conditionalFormatting sqref="I51">
    <cfRule type="expression" dxfId="976" priority="1014" stopIfTrue="1">
      <formula>IF(OR(I51="Y",I51="y",I51="Partial",I51="partial"),TRUE,FALSE)=FALSE</formula>
    </cfRule>
    <cfRule type="expression" dxfId="975" priority="1015" stopIfTrue="1">
      <formula>IF(OR(I51="Partial",I51="partial"),TRUE,FALSE)=TRUE</formula>
    </cfRule>
    <cfRule type="expression" dxfId="974" priority="1016" stopIfTrue="1">
      <formula>IF(OR(I51="Y",I51="y"),TRUE,FALSE)=TRUE</formula>
    </cfRule>
  </conditionalFormatting>
  <conditionalFormatting sqref="I51">
    <cfRule type="cellIs" dxfId="973" priority="1013" stopIfTrue="1" operator="equal">
      <formula>"N/A"</formula>
    </cfRule>
  </conditionalFormatting>
  <conditionalFormatting sqref="J51">
    <cfRule type="expression" dxfId="972" priority="1010" stopIfTrue="1">
      <formula>IF(OR(J51="Y",J51="y",J51="Partial",J51="partial"),TRUE,FALSE)=FALSE</formula>
    </cfRule>
    <cfRule type="expression" dxfId="971" priority="1011" stopIfTrue="1">
      <formula>IF(OR(J51="Partial",J51="partial"),TRUE,FALSE)=TRUE</formula>
    </cfRule>
    <cfRule type="expression" dxfId="970" priority="1012" stopIfTrue="1">
      <formula>IF(OR(J51="Y",J51="y"),TRUE,FALSE)=TRUE</formula>
    </cfRule>
  </conditionalFormatting>
  <conditionalFormatting sqref="J51">
    <cfRule type="cellIs" dxfId="969" priority="1009" stopIfTrue="1" operator="equal">
      <formula>"N/A"</formula>
    </cfRule>
  </conditionalFormatting>
  <conditionalFormatting sqref="K51">
    <cfRule type="expression" dxfId="968" priority="1006" stopIfTrue="1">
      <formula>IF(OR(K51="Y",K51="y",K51="Partial",K51="partial"),TRUE,FALSE)=FALSE</formula>
    </cfRule>
    <cfRule type="expression" dxfId="967" priority="1007" stopIfTrue="1">
      <formula>IF(OR(K51="Partial",K51="partial"),TRUE,FALSE)=TRUE</formula>
    </cfRule>
    <cfRule type="expression" dxfId="966" priority="1008" stopIfTrue="1">
      <formula>IF(OR(K51="Y",K51="y"),TRUE,FALSE)=TRUE</formula>
    </cfRule>
  </conditionalFormatting>
  <conditionalFormatting sqref="K51">
    <cfRule type="cellIs" dxfId="965" priority="1005" stopIfTrue="1" operator="equal">
      <formula>"N/A"</formula>
    </cfRule>
  </conditionalFormatting>
  <conditionalFormatting sqref="L51">
    <cfRule type="expression" dxfId="964" priority="1002" stopIfTrue="1">
      <formula>IF(OR(L51="Y",L51="y",L51="Partial",L51="partial"),TRUE,FALSE)=FALSE</formula>
    </cfRule>
    <cfRule type="expression" dxfId="963" priority="1003" stopIfTrue="1">
      <formula>IF(OR(L51="Partial",L51="partial"),TRUE,FALSE)=TRUE</formula>
    </cfRule>
    <cfRule type="expression" dxfId="962" priority="1004" stopIfTrue="1">
      <formula>IF(OR(L51="Y",L51="y"),TRUE,FALSE)=TRUE</formula>
    </cfRule>
  </conditionalFormatting>
  <conditionalFormatting sqref="L51">
    <cfRule type="cellIs" dxfId="961" priority="1001" stopIfTrue="1" operator="equal">
      <formula>"N/A"</formula>
    </cfRule>
  </conditionalFormatting>
  <conditionalFormatting sqref="M51">
    <cfRule type="expression" dxfId="960" priority="998" stopIfTrue="1">
      <formula>IF(OR(M51="Y",M51="y",M51="Partial",M51="partial"),TRUE,FALSE)=FALSE</formula>
    </cfRule>
    <cfRule type="expression" dxfId="959" priority="999" stopIfTrue="1">
      <formula>IF(OR(M51="Partial",M51="partial"),TRUE,FALSE)=TRUE</formula>
    </cfRule>
    <cfRule type="expression" dxfId="958" priority="1000" stopIfTrue="1">
      <formula>IF(OR(M51="Y",M51="y"),TRUE,FALSE)=TRUE</formula>
    </cfRule>
  </conditionalFormatting>
  <conditionalFormatting sqref="M51">
    <cfRule type="cellIs" dxfId="957" priority="997" stopIfTrue="1" operator="equal">
      <formula>"N/A"</formula>
    </cfRule>
  </conditionalFormatting>
  <conditionalFormatting sqref="N51">
    <cfRule type="expression" dxfId="956" priority="994" stopIfTrue="1">
      <formula>IF(OR(N51="Y",N51="y",N51="Partial",N51="partial"),TRUE,FALSE)=FALSE</formula>
    </cfRule>
    <cfRule type="expression" dxfId="955" priority="995" stopIfTrue="1">
      <formula>IF(OR(N51="Partial",N51="partial"),TRUE,FALSE)=TRUE</formula>
    </cfRule>
    <cfRule type="expression" dxfId="954" priority="996" stopIfTrue="1">
      <formula>IF(OR(N51="Y",N51="y"),TRUE,FALSE)=TRUE</formula>
    </cfRule>
  </conditionalFormatting>
  <conditionalFormatting sqref="N51">
    <cfRule type="cellIs" dxfId="953" priority="993" stopIfTrue="1" operator="equal">
      <formula>"N/A"</formula>
    </cfRule>
  </conditionalFormatting>
  <conditionalFormatting sqref="O51">
    <cfRule type="expression" dxfId="952" priority="990" stopIfTrue="1">
      <formula>IF(OR(O51="Y",O51="y",O51="Partial",O51="partial"),TRUE,FALSE)=FALSE</formula>
    </cfRule>
    <cfRule type="expression" dxfId="951" priority="991" stopIfTrue="1">
      <formula>IF(OR(O51="Partial",O51="partial"),TRUE,FALSE)=TRUE</formula>
    </cfRule>
    <cfRule type="expression" dxfId="950" priority="992" stopIfTrue="1">
      <formula>IF(OR(O51="Y",O51="y"),TRUE,FALSE)=TRUE</formula>
    </cfRule>
  </conditionalFormatting>
  <conditionalFormatting sqref="O51">
    <cfRule type="cellIs" dxfId="949" priority="989" stopIfTrue="1" operator="equal">
      <formula>"N/A"</formula>
    </cfRule>
  </conditionalFormatting>
  <conditionalFormatting sqref="P51">
    <cfRule type="expression" dxfId="948" priority="986" stopIfTrue="1">
      <formula>IF(OR(P51="Y",P51="y",P51="Partial",P51="partial"),TRUE,FALSE)=FALSE</formula>
    </cfRule>
    <cfRule type="expression" dxfId="947" priority="987" stopIfTrue="1">
      <formula>IF(OR(P51="Partial",P51="partial"),TRUE,FALSE)=TRUE</formula>
    </cfRule>
    <cfRule type="expression" dxfId="946" priority="988" stopIfTrue="1">
      <formula>IF(OR(P51="Y",P51="y"),TRUE,FALSE)=TRUE</formula>
    </cfRule>
  </conditionalFormatting>
  <conditionalFormatting sqref="P51">
    <cfRule type="cellIs" dxfId="945" priority="985" stopIfTrue="1" operator="equal">
      <formula>"N/A"</formula>
    </cfRule>
  </conditionalFormatting>
  <conditionalFormatting sqref="R51">
    <cfRule type="expression" dxfId="944" priority="978" stopIfTrue="1">
      <formula>IF(OR(R51="Y",R51="y",R51="Partial",R51="partial"),TRUE,FALSE)=FALSE</formula>
    </cfRule>
    <cfRule type="expression" dxfId="943" priority="979" stopIfTrue="1">
      <formula>IF(OR(R51="Partial",R51="partial"),TRUE,FALSE)=TRUE</formula>
    </cfRule>
    <cfRule type="expression" dxfId="942" priority="980" stopIfTrue="1">
      <formula>IF(OR(R51="Y",R51="y"),TRUE,FALSE)=TRUE</formula>
    </cfRule>
  </conditionalFormatting>
  <conditionalFormatting sqref="R51">
    <cfRule type="cellIs" dxfId="941" priority="977" stopIfTrue="1" operator="equal">
      <formula>"N/A"</formula>
    </cfRule>
  </conditionalFormatting>
  <conditionalFormatting sqref="S51">
    <cfRule type="expression" dxfId="940" priority="974" stopIfTrue="1">
      <formula>IF(OR(S51="Y",S51="y",S51="Partial",S51="partial"),TRUE,FALSE)=FALSE</formula>
    </cfRule>
    <cfRule type="expression" dxfId="939" priority="975" stopIfTrue="1">
      <formula>IF(OR(S51="Partial",S51="partial"),TRUE,FALSE)=TRUE</formula>
    </cfRule>
    <cfRule type="expression" dxfId="938" priority="976" stopIfTrue="1">
      <formula>IF(OR(S51="Y",S51="y"),TRUE,FALSE)=TRUE</formula>
    </cfRule>
  </conditionalFormatting>
  <conditionalFormatting sqref="S51">
    <cfRule type="cellIs" dxfId="937" priority="973" stopIfTrue="1" operator="equal">
      <formula>"N/A"</formula>
    </cfRule>
  </conditionalFormatting>
  <conditionalFormatting sqref="T51">
    <cfRule type="expression" dxfId="936" priority="970" stopIfTrue="1">
      <formula>IF(OR(T51="Y",T51="y",T51="Partial",T51="partial"),TRUE,FALSE)=FALSE</formula>
    </cfRule>
    <cfRule type="expression" dxfId="935" priority="971" stopIfTrue="1">
      <formula>IF(OR(T51="Partial",T51="partial"),TRUE,FALSE)=TRUE</formula>
    </cfRule>
    <cfRule type="expression" dxfId="934" priority="972" stopIfTrue="1">
      <formula>IF(OR(T51="Y",T51="y"),TRUE,FALSE)=TRUE</formula>
    </cfRule>
  </conditionalFormatting>
  <conditionalFormatting sqref="T51">
    <cfRule type="cellIs" dxfId="933" priority="969" stopIfTrue="1" operator="equal">
      <formula>"N/A"</formula>
    </cfRule>
  </conditionalFormatting>
  <conditionalFormatting sqref="U51">
    <cfRule type="expression" dxfId="932" priority="966" stopIfTrue="1">
      <formula>IF(OR(U51="Y",U51="y",U51="Partial",U51="partial"),TRUE,FALSE)=FALSE</formula>
    </cfRule>
    <cfRule type="expression" dxfId="931" priority="967" stopIfTrue="1">
      <formula>IF(OR(U51="Partial",U51="partial"),TRUE,FALSE)=TRUE</formula>
    </cfRule>
    <cfRule type="expression" dxfId="930" priority="968" stopIfTrue="1">
      <formula>IF(OR(U51="Y",U51="y"),TRUE,FALSE)=TRUE</formula>
    </cfRule>
  </conditionalFormatting>
  <conditionalFormatting sqref="U51">
    <cfRule type="cellIs" dxfId="929" priority="965" stopIfTrue="1" operator="equal">
      <formula>"N/A"</formula>
    </cfRule>
  </conditionalFormatting>
  <conditionalFormatting sqref="V51">
    <cfRule type="expression" dxfId="928" priority="962" stopIfTrue="1">
      <formula>IF(OR(V51="Y",V51="y",V51="Partial",V51="partial"),TRUE,FALSE)=FALSE</formula>
    </cfRule>
    <cfRule type="expression" dxfId="927" priority="963" stopIfTrue="1">
      <formula>IF(OR(V51="Partial",V51="partial"),TRUE,FALSE)=TRUE</formula>
    </cfRule>
    <cfRule type="expression" dxfId="926" priority="964" stopIfTrue="1">
      <formula>IF(OR(V51="Y",V51="y"),TRUE,FALSE)=TRUE</formula>
    </cfRule>
  </conditionalFormatting>
  <conditionalFormatting sqref="V51">
    <cfRule type="cellIs" dxfId="925" priority="961" stopIfTrue="1" operator="equal">
      <formula>"N/A"</formula>
    </cfRule>
  </conditionalFormatting>
  <conditionalFormatting sqref="W51">
    <cfRule type="expression" dxfId="924" priority="958" stopIfTrue="1">
      <formula>IF(OR(W51="Y",W51="y",W51="Partial",W51="partial"),TRUE,FALSE)=FALSE</formula>
    </cfRule>
    <cfRule type="expression" dxfId="923" priority="959" stopIfTrue="1">
      <formula>IF(OR(W51="Partial",W51="partial"),TRUE,FALSE)=TRUE</formula>
    </cfRule>
    <cfRule type="expression" dxfId="922" priority="960" stopIfTrue="1">
      <formula>IF(OR(W51="Y",W51="y"),TRUE,FALSE)=TRUE</formula>
    </cfRule>
  </conditionalFormatting>
  <conditionalFormatting sqref="W51">
    <cfRule type="cellIs" dxfId="921" priority="957" stopIfTrue="1" operator="equal">
      <formula>"N/A"</formula>
    </cfRule>
  </conditionalFormatting>
  <conditionalFormatting sqref="X51">
    <cfRule type="expression" dxfId="920" priority="954" stopIfTrue="1">
      <formula>IF(OR(X51="Y",X51="y",X51="Partial",X51="partial"),TRUE,FALSE)=FALSE</formula>
    </cfRule>
    <cfRule type="expression" dxfId="919" priority="955" stopIfTrue="1">
      <formula>IF(OR(X51="Partial",X51="partial"),TRUE,FALSE)=TRUE</formula>
    </cfRule>
    <cfRule type="expression" dxfId="918" priority="956" stopIfTrue="1">
      <formula>IF(OR(X51="Y",X51="y"),TRUE,FALSE)=TRUE</formula>
    </cfRule>
  </conditionalFormatting>
  <conditionalFormatting sqref="X51">
    <cfRule type="cellIs" dxfId="917" priority="953" stopIfTrue="1" operator="equal">
      <formula>"N/A"</formula>
    </cfRule>
  </conditionalFormatting>
  <conditionalFormatting sqref="H52">
    <cfRule type="expression" dxfId="916" priority="950" stopIfTrue="1">
      <formula>IF(OR(H52="Y",H52="y",H52="Partial",H52="partial"),TRUE,FALSE)=FALSE</formula>
    </cfRule>
    <cfRule type="expression" dxfId="915" priority="951" stopIfTrue="1">
      <formula>IF(OR(H52="Partial",H52="partial"),TRUE,FALSE)=TRUE</formula>
    </cfRule>
    <cfRule type="expression" dxfId="914" priority="952" stopIfTrue="1">
      <formula>IF(OR(H52="Y",H52="y"),TRUE,FALSE)=TRUE</formula>
    </cfRule>
  </conditionalFormatting>
  <conditionalFormatting sqref="H52">
    <cfRule type="cellIs" dxfId="913" priority="949" stopIfTrue="1" operator="equal">
      <formula>"N/A"</formula>
    </cfRule>
  </conditionalFormatting>
  <conditionalFormatting sqref="I52">
    <cfRule type="expression" dxfId="912" priority="946" stopIfTrue="1">
      <formula>IF(OR(I52="Y",I52="y",I52="Partial",I52="partial"),TRUE,FALSE)=FALSE</formula>
    </cfRule>
    <cfRule type="expression" dxfId="911" priority="947" stopIfTrue="1">
      <formula>IF(OR(I52="Partial",I52="partial"),TRUE,FALSE)=TRUE</formula>
    </cfRule>
    <cfRule type="expression" dxfId="910" priority="948" stopIfTrue="1">
      <formula>IF(OR(I52="Y",I52="y"),TRUE,FALSE)=TRUE</formula>
    </cfRule>
  </conditionalFormatting>
  <conditionalFormatting sqref="I52">
    <cfRule type="cellIs" dxfId="909" priority="945" stopIfTrue="1" operator="equal">
      <formula>"N/A"</formula>
    </cfRule>
  </conditionalFormatting>
  <conditionalFormatting sqref="J52">
    <cfRule type="expression" dxfId="908" priority="942" stopIfTrue="1">
      <formula>IF(OR(J52="Y",J52="y",J52="Partial",J52="partial"),TRUE,FALSE)=FALSE</formula>
    </cfRule>
    <cfRule type="expression" dxfId="907" priority="943" stopIfTrue="1">
      <formula>IF(OR(J52="Partial",J52="partial"),TRUE,FALSE)=TRUE</formula>
    </cfRule>
    <cfRule type="expression" dxfId="906" priority="944" stopIfTrue="1">
      <formula>IF(OR(J52="Y",J52="y"),TRUE,FALSE)=TRUE</formula>
    </cfRule>
  </conditionalFormatting>
  <conditionalFormatting sqref="J52">
    <cfRule type="cellIs" dxfId="905" priority="941" stopIfTrue="1" operator="equal">
      <formula>"N/A"</formula>
    </cfRule>
  </conditionalFormatting>
  <conditionalFormatting sqref="K52">
    <cfRule type="expression" dxfId="904" priority="938" stopIfTrue="1">
      <formula>IF(OR(K52="Y",K52="y",K52="Partial",K52="partial"),TRUE,FALSE)=FALSE</formula>
    </cfRule>
    <cfRule type="expression" dxfId="903" priority="939" stopIfTrue="1">
      <formula>IF(OR(K52="Partial",K52="partial"),TRUE,FALSE)=TRUE</formula>
    </cfRule>
    <cfRule type="expression" dxfId="902" priority="940" stopIfTrue="1">
      <formula>IF(OR(K52="Y",K52="y"),TRUE,FALSE)=TRUE</formula>
    </cfRule>
  </conditionalFormatting>
  <conditionalFormatting sqref="K52">
    <cfRule type="cellIs" dxfId="901" priority="937" stopIfTrue="1" operator="equal">
      <formula>"N/A"</formula>
    </cfRule>
  </conditionalFormatting>
  <conditionalFormatting sqref="L52">
    <cfRule type="expression" dxfId="900" priority="934" stopIfTrue="1">
      <formula>IF(OR(L52="Y",L52="y",L52="Partial",L52="partial"),TRUE,FALSE)=FALSE</formula>
    </cfRule>
    <cfRule type="expression" dxfId="899" priority="935" stopIfTrue="1">
      <formula>IF(OR(L52="Partial",L52="partial"),TRUE,FALSE)=TRUE</formula>
    </cfRule>
    <cfRule type="expression" dxfId="898" priority="936" stopIfTrue="1">
      <formula>IF(OR(L52="Y",L52="y"),TRUE,FALSE)=TRUE</formula>
    </cfRule>
  </conditionalFormatting>
  <conditionalFormatting sqref="L52">
    <cfRule type="cellIs" dxfId="897" priority="933" stopIfTrue="1" operator="equal">
      <formula>"N/A"</formula>
    </cfRule>
  </conditionalFormatting>
  <conditionalFormatting sqref="M52">
    <cfRule type="expression" dxfId="896" priority="930" stopIfTrue="1">
      <formula>IF(OR(M52="Y",M52="y",M52="Partial",M52="partial"),TRUE,FALSE)=FALSE</formula>
    </cfRule>
    <cfRule type="expression" dxfId="895" priority="931" stopIfTrue="1">
      <formula>IF(OR(M52="Partial",M52="partial"),TRUE,FALSE)=TRUE</formula>
    </cfRule>
    <cfRule type="expression" dxfId="894" priority="932" stopIfTrue="1">
      <formula>IF(OR(M52="Y",M52="y"),TRUE,FALSE)=TRUE</formula>
    </cfRule>
  </conditionalFormatting>
  <conditionalFormatting sqref="M52">
    <cfRule type="cellIs" dxfId="893" priority="929" stopIfTrue="1" operator="equal">
      <formula>"N/A"</formula>
    </cfRule>
  </conditionalFormatting>
  <conditionalFormatting sqref="N52">
    <cfRule type="expression" dxfId="892" priority="926" stopIfTrue="1">
      <formula>IF(OR(N52="Y",N52="y",N52="Partial",N52="partial"),TRUE,FALSE)=FALSE</formula>
    </cfRule>
    <cfRule type="expression" dxfId="891" priority="927" stopIfTrue="1">
      <formula>IF(OR(N52="Partial",N52="partial"),TRUE,FALSE)=TRUE</formula>
    </cfRule>
    <cfRule type="expression" dxfId="890" priority="928" stopIfTrue="1">
      <formula>IF(OR(N52="Y",N52="y"),TRUE,FALSE)=TRUE</formula>
    </cfRule>
  </conditionalFormatting>
  <conditionalFormatting sqref="N52">
    <cfRule type="cellIs" dxfId="889" priority="925" stopIfTrue="1" operator="equal">
      <formula>"N/A"</formula>
    </cfRule>
  </conditionalFormatting>
  <conditionalFormatting sqref="O52">
    <cfRule type="expression" dxfId="888" priority="922" stopIfTrue="1">
      <formula>IF(OR(O52="Y",O52="y",O52="Partial",O52="partial"),TRUE,FALSE)=FALSE</formula>
    </cfRule>
    <cfRule type="expression" dxfId="887" priority="923" stopIfTrue="1">
      <formula>IF(OR(O52="Partial",O52="partial"),TRUE,FALSE)=TRUE</formula>
    </cfRule>
    <cfRule type="expression" dxfId="886" priority="924" stopIfTrue="1">
      <formula>IF(OR(O52="Y",O52="y"),TRUE,FALSE)=TRUE</formula>
    </cfRule>
  </conditionalFormatting>
  <conditionalFormatting sqref="O52">
    <cfRule type="cellIs" dxfId="885" priority="921" stopIfTrue="1" operator="equal">
      <formula>"N/A"</formula>
    </cfRule>
  </conditionalFormatting>
  <conditionalFormatting sqref="P52">
    <cfRule type="expression" dxfId="884" priority="918" stopIfTrue="1">
      <formula>IF(OR(P52="Y",P52="y",P52="Partial",P52="partial"),TRUE,FALSE)=FALSE</formula>
    </cfRule>
    <cfRule type="expression" dxfId="883" priority="919" stopIfTrue="1">
      <formula>IF(OR(P52="Partial",P52="partial"),TRUE,FALSE)=TRUE</formula>
    </cfRule>
    <cfRule type="expression" dxfId="882" priority="920" stopIfTrue="1">
      <formula>IF(OR(P52="Y",P52="y"),TRUE,FALSE)=TRUE</formula>
    </cfRule>
  </conditionalFormatting>
  <conditionalFormatting sqref="P52">
    <cfRule type="cellIs" dxfId="881" priority="917" stopIfTrue="1" operator="equal">
      <formula>"N/A"</formula>
    </cfRule>
  </conditionalFormatting>
  <conditionalFormatting sqref="R52">
    <cfRule type="expression" dxfId="880" priority="910" stopIfTrue="1">
      <formula>IF(OR(R52="Y",R52="y",R52="Partial",R52="partial"),TRUE,FALSE)=FALSE</formula>
    </cfRule>
    <cfRule type="expression" dxfId="879" priority="911" stopIfTrue="1">
      <formula>IF(OR(R52="Partial",R52="partial"),TRUE,FALSE)=TRUE</formula>
    </cfRule>
    <cfRule type="expression" dxfId="878" priority="912" stopIfTrue="1">
      <formula>IF(OR(R52="Y",R52="y"),TRUE,FALSE)=TRUE</formula>
    </cfRule>
  </conditionalFormatting>
  <conditionalFormatting sqref="R52">
    <cfRule type="cellIs" dxfId="877" priority="909" stopIfTrue="1" operator="equal">
      <formula>"N/A"</formula>
    </cfRule>
  </conditionalFormatting>
  <conditionalFormatting sqref="S52">
    <cfRule type="expression" dxfId="876" priority="906" stopIfTrue="1">
      <formula>IF(OR(S52="Y",S52="y",S52="Partial",S52="partial"),TRUE,FALSE)=FALSE</formula>
    </cfRule>
    <cfRule type="expression" dxfId="875" priority="907" stopIfTrue="1">
      <formula>IF(OR(S52="Partial",S52="partial"),TRUE,FALSE)=TRUE</formula>
    </cfRule>
    <cfRule type="expression" dxfId="874" priority="908" stopIfTrue="1">
      <formula>IF(OR(S52="Y",S52="y"),TRUE,FALSE)=TRUE</formula>
    </cfRule>
  </conditionalFormatting>
  <conditionalFormatting sqref="S52">
    <cfRule type="cellIs" dxfId="873" priority="905" stopIfTrue="1" operator="equal">
      <formula>"N/A"</formula>
    </cfRule>
  </conditionalFormatting>
  <conditionalFormatting sqref="T52">
    <cfRule type="expression" dxfId="872" priority="902" stopIfTrue="1">
      <formula>IF(OR(T52="Y",T52="y",T52="Partial",T52="partial"),TRUE,FALSE)=FALSE</formula>
    </cfRule>
    <cfRule type="expression" dxfId="871" priority="903" stopIfTrue="1">
      <formula>IF(OR(T52="Partial",T52="partial"),TRUE,FALSE)=TRUE</formula>
    </cfRule>
    <cfRule type="expression" dxfId="870" priority="904" stopIfTrue="1">
      <formula>IF(OR(T52="Y",T52="y"),TRUE,FALSE)=TRUE</formula>
    </cfRule>
  </conditionalFormatting>
  <conditionalFormatting sqref="T52">
    <cfRule type="cellIs" dxfId="869" priority="901" stopIfTrue="1" operator="equal">
      <formula>"N/A"</formula>
    </cfRule>
  </conditionalFormatting>
  <conditionalFormatting sqref="U52">
    <cfRule type="expression" dxfId="868" priority="898" stopIfTrue="1">
      <formula>IF(OR(U52="Y",U52="y",U52="Partial",U52="partial"),TRUE,FALSE)=FALSE</formula>
    </cfRule>
    <cfRule type="expression" dxfId="867" priority="899" stopIfTrue="1">
      <formula>IF(OR(U52="Partial",U52="partial"),TRUE,FALSE)=TRUE</formula>
    </cfRule>
    <cfRule type="expression" dxfId="866" priority="900" stopIfTrue="1">
      <formula>IF(OR(U52="Y",U52="y"),TRUE,FALSE)=TRUE</formula>
    </cfRule>
  </conditionalFormatting>
  <conditionalFormatting sqref="U52">
    <cfRule type="cellIs" dxfId="865" priority="897" stopIfTrue="1" operator="equal">
      <formula>"N/A"</formula>
    </cfRule>
  </conditionalFormatting>
  <conditionalFormatting sqref="V52">
    <cfRule type="expression" dxfId="864" priority="894" stopIfTrue="1">
      <formula>IF(OR(V52="Y",V52="y",V52="Partial",V52="partial"),TRUE,FALSE)=FALSE</formula>
    </cfRule>
    <cfRule type="expression" dxfId="863" priority="895" stopIfTrue="1">
      <formula>IF(OR(V52="Partial",V52="partial"),TRUE,FALSE)=TRUE</formula>
    </cfRule>
    <cfRule type="expression" dxfId="862" priority="896" stopIfTrue="1">
      <formula>IF(OR(V52="Y",V52="y"),TRUE,FALSE)=TRUE</formula>
    </cfRule>
  </conditionalFormatting>
  <conditionalFormatting sqref="V52">
    <cfRule type="cellIs" dxfId="861" priority="893" stopIfTrue="1" operator="equal">
      <formula>"N/A"</formula>
    </cfRule>
  </conditionalFormatting>
  <conditionalFormatting sqref="W52">
    <cfRule type="expression" dxfId="860" priority="890" stopIfTrue="1">
      <formula>IF(OR(W52="Y",W52="y",W52="Partial",W52="partial"),TRUE,FALSE)=FALSE</formula>
    </cfRule>
    <cfRule type="expression" dxfId="859" priority="891" stopIfTrue="1">
      <formula>IF(OR(W52="Partial",W52="partial"),TRUE,FALSE)=TRUE</formula>
    </cfRule>
    <cfRule type="expression" dxfId="858" priority="892" stopIfTrue="1">
      <formula>IF(OR(W52="Y",W52="y"),TRUE,FALSE)=TRUE</formula>
    </cfRule>
  </conditionalFormatting>
  <conditionalFormatting sqref="W52">
    <cfRule type="cellIs" dxfId="857" priority="889" stopIfTrue="1" operator="equal">
      <formula>"N/A"</formula>
    </cfRule>
  </conditionalFormatting>
  <conditionalFormatting sqref="X52">
    <cfRule type="expression" dxfId="856" priority="886" stopIfTrue="1">
      <formula>IF(OR(X52="Y",X52="y",X52="Partial",X52="partial"),TRUE,FALSE)=FALSE</formula>
    </cfRule>
    <cfRule type="expression" dxfId="855" priority="887" stopIfTrue="1">
      <formula>IF(OR(X52="Partial",X52="partial"),TRUE,FALSE)=TRUE</formula>
    </cfRule>
    <cfRule type="expression" dxfId="854" priority="888" stopIfTrue="1">
      <formula>IF(OR(X52="Y",X52="y"),TRUE,FALSE)=TRUE</formula>
    </cfRule>
  </conditionalFormatting>
  <conditionalFormatting sqref="X52">
    <cfRule type="cellIs" dxfId="853" priority="885" stopIfTrue="1" operator="equal">
      <formula>"N/A"</formula>
    </cfRule>
  </conditionalFormatting>
  <conditionalFormatting sqref="H53">
    <cfRule type="expression" dxfId="852" priority="882" stopIfTrue="1">
      <formula>IF(OR(H53="Y",H53="y",H53="Partial",H53="partial"),TRUE,FALSE)=FALSE</formula>
    </cfRule>
    <cfRule type="expression" dxfId="851" priority="883" stopIfTrue="1">
      <formula>IF(OR(H53="Partial",H53="partial"),TRUE,FALSE)=TRUE</formula>
    </cfRule>
    <cfRule type="expression" dxfId="850" priority="884" stopIfTrue="1">
      <formula>IF(OR(H53="Y",H53="y"),TRUE,FALSE)=TRUE</formula>
    </cfRule>
  </conditionalFormatting>
  <conditionalFormatting sqref="H53">
    <cfRule type="cellIs" dxfId="849" priority="881" stopIfTrue="1" operator="equal">
      <formula>"N/A"</formula>
    </cfRule>
  </conditionalFormatting>
  <conditionalFormatting sqref="I53">
    <cfRule type="expression" dxfId="848" priority="878" stopIfTrue="1">
      <formula>IF(OR(I53="Y",I53="y",I53="Partial",I53="partial"),TRUE,FALSE)=FALSE</formula>
    </cfRule>
    <cfRule type="expression" dxfId="847" priority="879" stopIfTrue="1">
      <formula>IF(OR(I53="Partial",I53="partial"),TRUE,FALSE)=TRUE</formula>
    </cfRule>
    <cfRule type="expression" dxfId="846" priority="880" stopIfTrue="1">
      <formula>IF(OR(I53="Y",I53="y"),TRUE,FALSE)=TRUE</formula>
    </cfRule>
  </conditionalFormatting>
  <conditionalFormatting sqref="I53">
    <cfRule type="cellIs" dxfId="845" priority="877" stopIfTrue="1" operator="equal">
      <formula>"N/A"</formula>
    </cfRule>
  </conditionalFormatting>
  <conditionalFormatting sqref="J53">
    <cfRule type="expression" dxfId="844" priority="874" stopIfTrue="1">
      <formula>IF(OR(J53="Y",J53="y",J53="Partial",J53="partial"),TRUE,FALSE)=FALSE</formula>
    </cfRule>
    <cfRule type="expression" dxfId="843" priority="875" stopIfTrue="1">
      <formula>IF(OR(J53="Partial",J53="partial"),TRUE,FALSE)=TRUE</formula>
    </cfRule>
    <cfRule type="expression" dxfId="842" priority="876" stopIfTrue="1">
      <formula>IF(OR(J53="Y",J53="y"),TRUE,FALSE)=TRUE</formula>
    </cfRule>
  </conditionalFormatting>
  <conditionalFormatting sqref="J53">
    <cfRule type="cellIs" dxfId="841" priority="873" stopIfTrue="1" operator="equal">
      <formula>"N/A"</formula>
    </cfRule>
  </conditionalFormatting>
  <conditionalFormatting sqref="K53">
    <cfRule type="expression" dxfId="840" priority="870" stopIfTrue="1">
      <formula>IF(OR(K53="Y",K53="y",K53="Partial",K53="partial"),TRUE,FALSE)=FALSE</formula>
    </cfRule>
    <cfRule type="expression" dxfId="839" priority="871" stopIfTrue="1">
      <formula>IF(OR(K53="Partial",K53="partial"),TRUE,FALSE)=TRUE</formula>
    </cfRule>
    <cfRule type="expression" dxfId="838" priority="872" stopIfTrue="1">
      <formula>IF(OR(K53="Y",K53="y"),TRUE,FALSE)=TRUE</formula>
    </cfRule>
  </conditionalFormatting>
  <conditionalFormatting sqref="K53">
    <cfRule type="cellIs" dxfId="837" priority="869" stopIfTrue="1" operator="equal">
      <formula>"N/A"</formula>
    </cfRule>
  </conditionalFormatting>
  <conditionalFormatting sqref="L53">
    <cfRule type="expression" dxfId="836" priority="866" stopIfTrue="1">
      <formula>IF(OR(L53="Y",L53="y",L53="Partial",L53="partial"),TRUE,FALSE)=FALSE</formula>
    </cfRule>
    <cfRule type="expression" dxfId="835" priority="867" stopIfTrue="1">
      <formula>IF(OR(L53="Partial",L53="partial"),TRUE,FALSE)=TRUE</formula>
    </cfRule>
    <cfRule type="expression" dxfId="834" priority="868" stopIfTrue="1">
      <formula>IF(OR(L53="Y",L53="y"),TRUE,FALSE)=TRUE</formula>
    </cfRule>
  </conditionalFormatting>
  <conditionalFormatting sqref="L53">
    <cfRule type="cellIs" dxfId="833" priority="865" stopIfTrue="1" operator="equal">
      <formula>"N/A"</formula>
    </cfRule>
  </conditionalFormatting>
  <conditionalFormatting sqref="M53">
    <cfRule type="expression" dxfId="832" priority="862" stopIfTrue="1">
      <formula>IF(OR(M53="Y",M53="y",M53="Partial",M53="partial"),TRUE,FALSE)=FALSE</formula>
    </cfRule>
    <cfRule type="expression" dxfId="831" priority="863" stopIfTrue="1">
      <formula>IF(OR(M53="Partial",M53="partial"),TRUE,FALSE)=TRUE</formula>
    </cfRule>
    <cfRule type="expression" dxfId="830" priority="864" stopIfTrue="1">
      <formula>IF(OR(M53="Y",M53="y"),TRUE,FALSE)=TRUE</formula>
    </cfRule>
  </conditionalFormatting>
  <conditionalFormatting sqref="M53">
    <cfRule type="cellIs" dxfId="829" priority="861" stopIfTrue="1" operator="equal">
      <formula>"N/A"</formula>
    </cfRule>
  </conditionalFormatting>
  <conditionalFormatting sqref="N53">
    <cfRule type="expression" dxfId="828" priority="858" stopIfTrue="1">
      <formula>IF(OR(N53="Y",N53="y",N53="Partial",N53="partial"),TRUE,FALSE)=FALSE</formula>
    </cfRule>
    <cfRule type="expression" dxfId="827" priority="859" stopIfTrue="1">
      <formula>IF(OR(N53="Partial",N53="partial"),TRUE,FALSE)=TRUE</formula>
    </cfRule>
    <cfRule type="expression" dxfId="826" priority="860" stopIfTrue="1">
      <formula>IF(OR(N53="Y",N53="y"),TRUE,FALSE)=TRUE</formula>
    </cfRule>
  </conditionalFormatting>
  <conditionalFormatting sqref="N53">
    <cfRule type="cellIs" dxfId="825" priority="857" stopIfTrue="1" operator="equal">
      <formula>"N/A"</formula>
    </cfRule>
  </conditionalFormatting>
  <conditionalFormatting sqref="O53">
    <cfRule type="expression" dxfId="824" priority="854" stopIfTrue="1">
      <formula>IF(OR(O53="Y",O53="y",O53="Partial",O53="partial"),TRUE,FALSE)=FALSE</formula>
    </cfRule>
    <cfRule type="expression" dxfId="823" priority="855" stopIfTrue="1">
      <formula>IF(OR(O53="Partial",O53="partial"),TRUE,FALSE)=TRUE</formula>
    </cfRule>
    <cfRule type="expression" dxfId="822" priority="856" stopIfTrue="1">
      <formula>IF(OR(O53="Y",O53="y"),TRUE,FALSE)=TRUE</formula>
    </cfRule>
  </conditionalFormatting>
  <conditionalFormatting sqref="O53">
    <cfRule type="cellIs" dxfId="821" priority="853" stopIfTrue="1" operator="equal">
      <formula>"N/A"</formula>
    </cfRule>
  </conditionalFormatting>
  <conditionalFormatting sqref="P53">
    <cfRule type="expression" dxfId="820" priority="850" stopIfTrue="1">
      <formula>IF(OR(P53="Y",P53="y",P53="Partial",P53="partial"),TRUE,FALSE)=FALSE</formula>
    </cfRule>
    <cfRule type="expression" dxfId="819" priority="851" stopIfTrue="1">
      <formula>IF(OR(P53="Partial",P53="partial"),TRUE,FALSE)=TRUE</formula>
    </cfRule>
    <cfRule type="expression" dxfId="818" priority="852" stopIfTrue="1">
      <formula>IF(OR(P53="Y",P53="y"),TRUE,FALSE)=TRUE</formula>
    </cfRule>
  </conditionalFormatting>
  <conditionalFormatting sqref="P53">
    <cfRule type="cellIs" dxfId="817" priority="849" stopIfTrue="1" operator="equal">
      <formula>"N/A"</formula>
    </cfRule>
  </conditionalFormatting>
  <conditionalFormatting sqref="R53">
    <cfRule type="expression" dxfId="816" priority="842" stopIfTrue="1">
      <formula>IF(OR(R53="Y",R53="y",R53="Partial",R53="partial"),TRUE,FALSE)=FALSE</formula>
    </cfRule>
    <cfRule type="expression" dxfId="815" priority="843" stopIfTrue="1">
      <formula>IF(OR(R53="Partial",R53="partial"),TRUE,FALSE)=TRUE</formula>
    </cfRule>
    <cfRule type="expression" dxfId="814" priority="844" stopIfTrue="1">
      <formula>IF(OR(R53="Y",R53="y"),TRUE,FALSE)=TRUE</formula>
    </cfRule>
  </conditionalFormatting>
  <conditionalFormatting sqref="R53">
    <cfRule type="cellIs" dxfId="813" priority="841" stopIfTrue="1" operator="equal">
      <formula>"N/A"</formula>
    </cfRule>
  </conditionalFormatting>
  <conditionalFormatting sqref="S53">
    <cfRule type="expression" dxfId="812" priority="838" stopIfTrue="1">
      <formula>IF(OR(S53="Y",S53="y",S53="Partial",S53="partial"),TRUE,FALSE)=FALSE</formula>
    </cfRule>
    <cfRule type="expression" dxfId="811" priority="839" stopIfTrue="1">
      <formula>IF(OR(S53="Partial",S53="partial"),TRUE,FALSE)=TRUE</formula>
    </cfRule>
    <cfRule type="expression" dxfId="810" priority="840" stopIfTrue="1">
      <formula>IF(OR(S53="Y",S53="y"),TRUE,FALSE)=TRUE</formula>
    </cfRule>
  </conditionalFormatting>
  <conditionalFormatting sqref="S53">
    <cfRule type="cellIs" dxfId="809" priority="837" stopIfTrue="1" operator="equal">
      <formula>"N/A"</formula>
    </cfRule>
  </conditionalFormatting>
  <conditionalFormatting sqref="T53">
    <cfRule type="expression" dxfId="808" priority="834" stopIfTrue="1">
      <formula>IF(OR(T53="Y",T53="y",T53="Partial",T53="partial"),TRUE,FALSE)=FALSE</formula>
    </cfRule>
    <cfRule type="expression" dxfId="807" priority="835" stopIfTrue="1">
      <formula>IF(OR(T53="Partial",T53="partial"),TRUE,FALSE)=TRUE</formula>
    </cfRule>
    <cfRule type="expression" dxfId="806" priority="836" stopIfTrue="1">
      <formula>IF(OR(T53="Y",T53="y"),TRUE,FALSE)=TRUE</formula>
    </cfRule>
  </conditionalFormatting>
  <conditionalFormatting sqref="T53">
    <cfRule type="cellIs" dxfId="805" priority="833" stopIfTrue="1" operator="equal">
      <formula>"N/A"</formula>
    </cfRule>
  </conditionalFormatting>
  <conditionalFormatting sqref="U53">
    <cfRule type="expression" dxfId="804" priority="830" stopIfTrue="1">
      <formula>IF(OR(U53="Y",U53="y",U53="Partial",U53="partial"),TRUE,FALSE)=FALSE</formula>
    </cfRule>
    <cfRule type="expression" dxfId="803" priority="831" stopIfTrue="1">
      <formula>IF(OR(U53="Partial",U53="partial"),TRUE,FALSE)=TRUE</formula>
    </cfRule>
    <cfRule type="expression" dxfId="802" priority="832" stopIfTrue="1">
      <formula>IF(OR(U53="Y",U53="y"),TRUE,FALSE)=TRUE</formula>
    </cfRule>
  </conditionalFormatting>
  <conditionalFormatting sqref="U53">
    <cfRule type="cellIs" dxfId="801" priority="829" stopIfTrue="1" operator="equal">
      <formula>"N/A"</formula>
    </cfRule>
  </conditionalFormatting>
  <conditionalFormatting sqref="V53">
    <cfRule type="expression" dxfId="800" priority="826" stopIfTrue="1">
      <formula>IF(OR(V53="Y",V53="y",V53="Partial",V53="partial"),TRUE,FALSE)=FALSE</formula>
    </cfRule>
    <cfRule type="expression" dxfId="799" priority="827" stopIfTrue="1">
      <formula>IF(OR(V53="Partial",V53="partial"),TRUE,FALSE)=TRUE</formula>
    </cfRule>
    <cfRule type="expression" dxfId="798" priority="828" stopIfTrue="1">
      <formula>IF(OR(V53="Y",V53="y"),TRUE,FALSE)=TRUE</formula>
    </cfRule>
  </conditionalFormatting>
  <conditionalFormatting sqref="V53">
    <cfRule type="cellIs" dxfId="797" priority="825" stopIfTrue="1" operator="equal">
      <formula>"N/A"</formula>
    </cfRule>
  </conditionalFormatting>
  <conditionalFormatting sqref="W53">
    <cfRule type="expression" dxfId="796" priority="822" stopIfTrue="1">
      <formula>IF(OR(W53="Y",W53="y",W53="Partial",W53="partial"),TRUE,FALSE)=FALSE</formula>
    </cfRule>
    <cfRule type="expression" dxfId="795" priority="823" stopIfTrue="1">
      <formula>IF(OR(W53="Partial",W53="partial"),TRUE,FALSE)=TRUE</formula>
    </cfRule>
    <cfRule type="expression" dxfId="794" priority="824" stopIfTrue="1">
      <formula>IF(OR(W53="Y",W53="y"),TRUE,FALSE)=TRUE</formula>
    </cfRule>
  </conditionalFormatting>
  <conditionalFormatting sqref="W53">
    <cfRule type="cellIs" dxfId="793" priority="821" stopIfTrue="1" operator="equal">
      <formula>"N/A"</formula>
    </cfRule>
  </conditionalFormatting>
  <conditionalFormatting sqref="X53">
    <cfRule type="expression" dxfId="792" priority="818" stopIfTrue="1">
      <formula>IF(OR(X53="Y",X53="y",X53="Partial",X53="partial"),TRUE,FALSE)=FALSE</formula>
    </cfRule>
    <cfRule type="expression" dxfId="791" priority="819" stopIfTrue="1">
      <formula>IF(OR(X53="Partial",X53="partial"),TRUE,FALSE)=TRUE</formula>
    </cfRule>
    <cfRule type="expression" dxfId="790" priority="820" stopIfTrue="1">
      <formula>IF(OR(X53="Y",X53="y"),TRUE,FALSE)=TRUE</formula>
    </cfRule>
  </conditionalFormatting>
  <conditionalFormatting sqref="X53">
    <cfRule type="cellIs" dxfId="789" priority="817" stopIfTrue="1" operator="equal">
      <formula>"N/A"</formula>
    </cfRule>
  </conditionalFormatting>
  <conditionalFormatting sqref="H54">
    <cfRule type="expression" dxfId="788" priority="814" stopIfTrue="1">
      <formula>IF(OR(H54="Y",H54="y",H54="Partial",H54="partial"),TRUE,FALSE)=FALSE</formula>
    </cfRule>
    <cfRule type="expression" dxfId="787" priority="815" stopIfTrue="1">
      <formula>IF(OR(H54="Partial",H54="partial"),TRUE,FALSE)=TRUE</formula>
    </cfRule>
    <cfRule type="expression" dxfId="786" priority="816" stopIfTrue="1">
      <formula>IF(OR(H54="Y",H54="y"),TRUE,FALSE)=TRUE</formula>
    </cfRule>
  </conditionalFormatting>
  <conditionalFormatting sqref="H54">
    <cfRule type="cellIs" dxfId="785" priority="813" stopIfTrue="1" operator="equal">
      <formula>"N/A"</formula>
    </cfRule>
  </conditionalFormatting>
  <conditionalFormatting sqref="I54">
    <cfRule type="expression" dxfId="784" priority="810" stopIfTrue="1">
      <formula>IF(OR(I54="Y",I54="y",I54="Partial",I54="partial"),TRUE,FALSE)=FALSE</formula>
    </cfRule>
    <cfRule type="expression" dxfId="783" priority="811" stopIfTrue="1">
      <formula>IF(OR(I54="Partial",I54="partial"),TRUE,FALSE)=TRUE</formula>
    </cfRule>
    <cfRule type="expression" dxfId="782" priority="812" stopIfTrue="1">
      <formula>IF(OR(I54="Y",I54="y"),TRUE,FALSE)=TRUE</formula>
    </cfRule>
  </conditionalFormatting>
  <conditionalFormatting sqref="I54">
    <cfRule type="cellIs" dxfId="781" priority="809" stopIfTrue="1" operator="equal">
      <formula>"N/A"</formula>
    </cfRule>
  </conditionalFormatting>
  <conditionalFormatting sqref="J54">
    <cfRule type="expression" dxfId="780" priority="806" stopIfTrue="1">
      <formula>IF(OR(J54="Y",J54="y",J54="Partial",J54="partial"),TRUE,FALSE)=FALSE</formula>
    </cfRule>
    <cfRule type="expression" dxfId="779" priority="807" stopIfTrue="1">
      <formula>IF(OR(J54="Partial",J54="partial"),TRUE,FALSE)=TRUE</formula>
    </cfRule>
    <cfRule type="expression" dxfId="778" priority="808" stopIfTrue="1">
      <formula>IF(OR(J54="Y",J54="y"),TRUE,FALSE)=TRUE</formula>
    </cfRule>
  </conditionalFormatting>
  <conditionalFormatting sqref="J54">
    <cfRule type="cellIs" dxfId="777" priority="805" stopIfTrue="1" operator="equal">
      <formula>"N/A"</formula>
    </cfRule>
  </conditionalFormatting>
  <conditionalFormatting sqref="K54">
    <cfRule type="expression" dxfId="776" priority="802" stopIfTrue="1">
      <formula>IF(OR(K54="Y",K54="y",K54="Partial",K54="partial"),TRUE,FALSE)=FALSE</formula>
    </cfRule>
    <cfRule type="expression" dxfId="775" priority="803" stopIfTrue="1">
      <formula>IF(OR(K54="Partial",K54="partial"),TRUE,FALSE)=TRUE</formula>
    </cfRule>
    <cfRule type="expression" dxfId="774" priority="804" stopIfTrue="1">
      <formula>IF(OR(K54="Y",K54="y"),TRUE,FALSE)=TRUE</formula>
    </cfRule>
  </conditionalFormatting>
  <conditionalFormatting sqref="K54">
    <cfRule type="cellIs" dxfId="773" priority="801" stopIfTrue="1" operator="equal">
      <formula>"N/A"</formula>
    </cfRule>
  </conditionalFormatting>
  <conditionalFormatting sqref="L54">
    <cfRule type="expression" dxfId="772" priority="798" stopIfTrue="1">
      <formula>IF(OR(L54="Y",L54="y",L54="Partial",L54="partial"),TRUE,FALSE)=FALSE</formula>
    </cfRule>
    <cfRule type="expression" dxfId="771" priority="799" stopIfTrue="1">
      <formula>IF(OR(L54="Partial",L54="partial"),TRUE,FALSE)=TRUE</formula>
    </cfRule>
    <cfRule type="expression" dxfId="770" priority="800" stopIfTrue="1">
      <formula>IF(OR(L54="Y",L54="y"),TRUE,FALSE)=TRUE</formula>
    </cfRule>
  </conditionalFormatting>
  <conditionalFormatting sqref="L54">
    <cfRule type="cellIs" dxfId="769" priority="797" stopIfTrue="1" operator="equal">
      <formula>"N/A"</formula>
    </cfRule>
  </conditionalFormatting>
  <conditionalFormatting sqref="M54">
    <cfRule type="expression" dxfId="768" priority="794" stopIfTrue="1">
      <formula>IF(OR(M54="Y",M54="y",M54="Partial",M54="partial"),TRUE,FALSE)=FALSE</formula>
    </cfRule>
    <cfRule type="expression" dxfId="767" priority="795" stopIfTrue="1">
      <formula>IF(OR(M54="Partial",M54="partial"),TRUE,FALSE)=TRUE</formula>
    </cfRule>
    <cfRule type="expression" dxfId="766" priority="796" stopIfTrue="1">
      <formula>IF(OR(M54="Y",M54="y"),TRUE,FALSE)=TRUE</formula>
    </cfRule>
  </conditionalFormatting>
  <conditionalFormatting sqref="M54">
    <cfRule type="cellIs" dxfId="765" priority="793" stopIfTrue="1" operator="equal">
      <formula>"N/A"</formula>
    </cfRule>
  </conditionalFormatting>
  <conditionalFormatting sqref="N54">
    <cfRule type="expression" dxfId="764" priority="790" stopIfTrue="1">
      <formula>IF(OR(N54="Y",N54="y",N54="Partial",N54="partial"),TRUE,FALSE)=FALSE</formula>
    </cfRule>
    <cfRule type="expression" dxfId="763" priority="791" stopIfTrue="1">
      <formula>IF(OR(N54="Partial",N54="partial"),TRUE,FALSE)=TRUE</formula>
    </cfRule>
    <cfRule type="expression" dxfId="762" priority="792" stopIfTrue="1">
      <formula>IF(OR(N54="Y",N54="y"),TRUE,FALSE)=TRUE</formula>
    </cfRule>
  </conditionalFormatting>
  <conditionalFormatting sqref="N54">
    <cfRule type="cellIs" dxfId="761" priority="789" stopIfTrue="1" operator="equal">
      <formula>"N/A"</formula>
    </cfRule>
  </conditionalFormatting>
  <conditionalFormatting sqref="O54">
    <cfRule type="expression" dxfId="760" priority="786" stopIfTrue="1">
      <formula>IF(OR(O54="Y",O54="y",O54="Partial",O54="partial"),TRUE,FALSE)=FALSE</formula>
    </cfRule>
    <cfRule type="expression" dxfId="759" priority="787" stopIfTrue="1">
      <formula>IF(OR(O54="Partial",O54="partial"),TRUE,FALSE)=TRUE</formula>
    </cfRule>
    <cfRule type="expression" dxfId="758" priority="788" stopIfTrue="1">
      <formula>IF(OR(O54="Y",O54="y"),TRUE,FALSE)=TRUE</formula>
    </cfRule>
  </conditionalFormatting>
  <conditionalFormatting sqref="O54">
    <cfRule type="cellIs" dxfId="757" priority="785" stopIfTrue="1" operator="equal">
      <formula>"N/A"</formula>
    </cfRule>
  </conditionalFormatting>
  <conditionalFormatting sqref="P54">
    <cfRule type="expression" dxfId="756" priority="782" stopIfTrue="1">
      <formula>IF(OR(P54="Y",P54="y",P54="Partial",P54="partial"),TRUE,FALSE)=FALSE</formula>
    </cfRule>
    <cfRule type="expression" dxfId="755" priority="783" stopIfTrue="1">
      <formula>IF(OR(P54="Partial",P54="partial"),TRUE,FALSE)=TRUE</formula>
    </cfRule>
    <cfRule type="expression" dxfId="754" priority="784" stopIfTrue="1">
      <formula>IF(OR(P54="Y",P54="y"),TRUE,FALSE)=TRUE</formula>
    </cfRule>
  </conditionalFormatting>
  <conditionalFormatting sqref="P54">
    <cfRule type="cellIs" dxfId="753" priority="781" stopIfTrue="1" operator="equal">
      <formula>"N/A"</formula>
    </cfRule>
  </conditionalFormatting>
  <conditionalFormatting sqref="R54">
    <cfRule type="expression" dxfId="752" priority="774" stopIfTrue="1">
      <formula>IF(OR(R54="Y",R54="y",R54="Partial",R54="partial"),TRUE,FALSE)=FALSE</formula>
    </cfRule>
    <cfRule type="expression" dxfId="751" priority="775" stopIfTrue="1">
      <formula>IF(OR(R54="Partial",R54="partial"),TRUE,FALSE)=TRUE</formula>
    </cfRule>
    <cfRule type="expression" dxfId="750" priority="776" stopIfTrue="1">
      <formula>IF(OR(R54="Y",R54="y"),TRUE,FALSE)=TRUE</formula>
    </cfRule>
  </conditionalFormatting>
  <conditionalFormatting sqref="R54">
    <cfRule type="cellIs" dxfId="749" priority="773" stopIfTrue="1" operator="equal">
      <formula>"N/A"</formula>
    </cfRule>
  </conditionalFormatting>
  <conditionalFormatting sqref="S54">
    <cfRule type="expression" dxfId="748" priority="770" stopIfTrue="1">
      <formula>IF(OR(S54="Y",S54="y",S54="Partial",S54="partial"),TRUE,FALSE)=FALSE</formula>
    </cfRule>
    <cfRule type="expression" dxfId="747" priority="771" stopIfTrue="1">
      <formula>IF(OR(S54="Partial",S54="partial"),TRUE,FALSE)=TRUE</formula>
    </cfRule>
    <cfRule type="expression" dxfId="746" priority="772" stopIfTrue="1">
      <formula>IF(OR(S54="Y",S54="y"),TRUE,FALSE)=TRUE</formula>
    </cfRule>
  </conditionalFormatting>
  <conditionalFormatting sqref="S54">
    <cfRule type="cellIs" dxfId="745" priority="769" stopIfTrue="1" operator="equal">
      <formula>"N/A"</formula>
    </cfRule>
  </conditionalFormatting>
  <conditionalFormatting sqref="T54">
    <cfRule type="expression" dxfId="744" priority="766" stopIfTrue="1">
      <formula>IF(OR(T54="Y",T54="y",T54="Partial",T54="partial"),TRUE,FALSE)=FALSE</formula>
    </cfRule>
    <cfRule type="expression" dxfId="743" priority="767" stopIfTrue="1">
      <formula>IF(OR(T54="Partial",T54="partial"),TRUE,FALSE)=TRUE</formula>
    </cfRule>
    <cfRule type="expression" dxfId="742" priority="768" stopIfTrue="1">
      <formula>IF(OR(T54="Y",T54="y"),TRUE,FALSE)=TRUE</formula>
    </cfRule>
  </conditionalFormatting>
  <conditionalFormatting sqref="T54">
    <cfRule type="cellIs" dxfId="741" priority="765" stopIfTrue="1" operator="equal">
      <formula>"N/A"</formula>
    </cfRule>
  </conditionalFormatting>
  <conditionalFormatting sqref="U54">
    <cfRule type="expression" dxfId="740" priority="762" stopIfTrue="1">
      <formula>IF(OR(U54="Y",U54="y",U54="Partial",U54="partial"),TRUE,FALSE)=FALSE</formula>
    </cfRule>
    <cfRule type="expression" dxfId="739" priority="763" stopIfTrue="1">
      <formula>IF(OR(U54="Partial",U54="partial"),TRUE,FALSE)=TRUE</formula>
    </cfRule>
    <cfRule type="expression" dxfId="738" priority="764" stopIfTrue="1">
      <formula>IF(OR(U54="Y",U54="y"),TRUE,FALSE)=TRUE</formula>
    </cfRule>
  </conditionalFormatting>
  <conditionalFormatting sqref="U54">
    <cfRule type="cellIs" dxfId="737" priority="761" stopIfTrue="1" operator="equal">
      <formula>"N/A"</formula>
    </cfRule>
  </conditionalFormatting>
  <conditionalFormatting sqref="V54">
    <cfRule type="expression" dxfId="736" priority="758" stopIfTrue="1">
      <formula>IF(OR(V54="Y",V54="y",V54="Partial",V54="partial"),TRUE,FALSE)=FALSE</formula>
    </cfRule>
    <cfRule type="expression" dxfId="735" priority="759" stopIfTrue="1">
      <formula>IF(OR(V54="Partial",V54="partial"),TRUE,FALSE)=TRUE</formula>
    </cfRule>
    <cfRule type="expression" dxfId="734" priority="760" stopIfTrue="1">
      <formula>IF(OR(V54="Y",V54="y"),TRUE,FALSE)=TRUE</formula>
    </cfRule>
  </conditionalFormatting>
  <conditionalFormatting sqref="V54">
    <cfRule type="cellIs" dxfId="733" priority="757" stopIfTrue="1" operator="equal">
      <formula>"N/A"</formula>
    </cfRule>
  </conditionalFormatting>
  <conditionalFormatting sqref="W54">
    <cfRule type="expression" dxfId="732" priority="754" stopIfTrue="1">
      <formula>IF(OR(W54="Y",W54="y",W54="Partial",W54="partial"),TRUE,FALSE)=FALSE</formula>
    </cfRule>
    <cfRule type="expression" dxfId="731" priority="755" stopIfTrue="1">
      <formula>IF(OR(W54="Partial",W54="partial"),TRUE,FALSE)=TRUE</formula>
    </cfRule>
    <cfRule type="expression" dxfId="730" priority="756" stopIfTrue="1">
      <formula>IF(OR(W54="Y",W54="y"),TRUE,FALSE)=TRUE</formula>
    </cfRule>
  </conditionalFormatting>
  <conditionalFormatting sqref="W54">
    <cfRule type="cellIs" dxfId="729" priority="753" stopIfTrue="1" operator="equal">
      <formula>"N/A"</formula>
    </cfRule>
  </conditionalFormatting>
  <conditionalFormatting sqref="X54">
    <cfRule type="expression" dxfId="728" priority="750" stopIfTrue="1">
      <formula>IF(OR(X54="Y",X54="y",X54="Partial",X54="partial"),TRUE,FALSE)=FALSE</formula>
    </cfRule>
    <cfRule type="expression" dxfId="727" priority="751" stopIfTrue="1">
      <formula>IF(OR(X54="Partial",X54="partial"),TRUE,FALSE)=TRUE</formula>
    </cfRule>
    <cfRule type="expression" dxfId="726" priority="752" stopIfTrue="1">
      <formula>IF(OR(X54="Y",X54="y"),TRUE,FALSE)=TRUE</formula>
    </cfRule>
  </conditionalFormatting>
  <conditionalFormatting sqref="X54">
    <cfRule type="cellIs" dxfId="725" priority="749" stopIfTrue="1" operator="equal">
      <formula>"N/A"</formula>
    </cfRule>
  </conditionalFormatting>
  <conditionalFormatting sqref="H55">
    <cfRule type="expression" dxfId="724" priority="746" stopIfTrue="1">
      <formula>IF(OR(H55="Y",H55="y",H55="Partial",H55="partial"),TRUE,FALSE)=FALSE</formula>
    </cfRule>
    <cfRule type="expression" dxfId="723" priority="747" stopIfTrue="1">
      <formula>IF(OR(H55="Partial",H55="partial"),TRUE,FALSE)=TRUE</formula>
    </cfRule>
    <cfRule type="expression" dxfId="722" priority="748" stopIfTrue="1">
      <formula>IF(OR(H55="Y",H55="y"),TRUE,FALSE)=TRUE</formula>
    </cfRule>
  </conditionalFormatting>
  <conditionalFormatting sqref="H55">
    <cfRule type="cellIs" dxfId="721" priority="745" stopIfTrue="1" operator="equal">
      <formula>"N/A"</formula>
    </cfRule>
  </conditionalFormatting>
  <conditionalFormatting sqref="I55">
    <cfRule type="expression" dxfId="720" priority="742" stopIfTrue="1">
      <formula>IF(OR(I55="Y",I55="y",I55="Partial",I55="partial"),TRUE,FALSE)=FALSE</formula>
    </cfRule>
    <cfRule type="expression" dxfId="719" priority="743" stopIfTrue="1">
      <formula>IF(OR(I55="Partial",I55="partial"),TRUE,FALSE)=TRUE</formula>
    </cfRule>
    <cfRule type="expression" dxfId="718" priority="744" stopIfTrue="1">
      <formula>IF(OR(I55="Y",I55="y"),TRUE,FALSE)=TRUE</formula>
    </cfRule>
  </conditionalFormatting>
  <conditionalFormatting sqref="I55">
    <cfRule type="cellIs" dxfId="717" priority="741" stopIfTrue="1" operator="equal">
      <formula>"N/A"</formula>
    </cfRule>
  </conditionalFormatting>
  <conditionalFormatting sqref="J55">
    <cfRule type="expression" dxfId="716" priority="738" stopIfTrue="1">
      <formula>IF(OR(J55="Y",J55="y",J55="Partial",J55="partial"),TRUE,FALSE)=FALSE</formula>
    </cfRule>
    <cfRule type="expression" dxfId="715" priority="739" stopIfTrue="1">
      <formula>IF(OR(J55="Partial",J55="partial"),TRUE,FALSE)=TRUE</formula>
    </cfRule>
    <cfRule type="expression" dxfId="714" priority="740" stopIfTrue="1">
      <formula>IF(OR(J55="Y",J55="y"),TRUE,FALSE)=TRUE</formula>
    </cfRule>
  </conditionalFormatting>
  <conditionalFormatting sqref="J55">
    <cfRule type="cellIs" dxfId="713" priority="737" stopIfTrue="1" operator="equal">
      <formula>"N/A"</formula>
    </cfRule>
  </conditionalFormatting>
  <conditionalFormatting sqref="K55">
    <cfRule type="expression" dxfId="712" priority="734" stopIfTrue="1">
      <formula>IF(OR(K55="Y",K55="y",K55="Partial",K55="partial"),TRUE,FALSE)=FALSE</formula>
    </cfRule>
    <cfRule type="expression" dxfId="711" priority="735" stopIfTrue="1">
      <formula>IF(OR(K55="Partial",K55="partial"),TRUE,FALSE)=TRUE</formula>
    </cfRule>
    <cfRule type="expression" dxfId="710" priority="736" stopIfTrue="1">
      <formula>IF(OR(K55="Y",K55="y"),TRUE,FALSE)=TRUE</formula>
    </cfRule>
  </conditionalFormatting>
  <conditionalFormatting sqref="K55">
    <cfRule type="cellIs" dxfId="709" priority="733" stopIfTrue="1" operator="equal">
      <formula>"N/A"</formula>
    </cfRule>
  </conditionalFormatting>
  <conditionalFormatting sqref="L55">
    <cfRule type="expression" dxfId="708" priority="730" stopIfTrue="1">
      <formula>IF(OR(L55="Y",L55="y",L55="Partial",L55="partial"),TRUE,FALSE)=FALSE</formula>
    </cfRule>
    <cfRule type="expression" dxfId="707" priority="731" stopIfTrue="1">
      <formula>IF(OR(L55="Partial",L55="partial"),TRUE,FALSE)=TRUE</formula>
    </cfRule>
    <cfRule type="expression" dxfId="706" priority="732" stopIfTrue="1">
      <formula>IF(OR(L55="Y",L55="y"),TRUE,FALSE)=TRUE</formula>
    </cfRule>
  </conditionalFormatting>
  <conditionalFormatting sqref="L55">
    <cfRule type="cellIs" dxfId="705" priority="729" stopIfTrue="1" operator="equal">
      <formula>"N/A"</formula>
    </cfRule>
  </conditionalFormatting>
  <conditionalFormatting sqref="M55">
    <cfRule type="expression" dxfId="704" priority="726" stopIfTrue="1">
      <formula>IF(OR(M55="Y",M55="y",M55="Partial",M55="partial"),TRUE,FALSE)=FALSE</formula>
    </cfRule>
    <cfRule type="expression" dxfId="703" priority="727" stopIfTrue="1">
      <formula>IF(OR(M55="Partial",M55="partial"),TRUE,FALSE)=TRUE</formula>
    </cfRule>
    <cfRule type="expression" dxfId="702" priority="728" stopIfTrue="1">
      <formula>IF(OR(M55="Y",M55="y"),TRUE,FALSE)=TRUE</formula>
    </cfRule>
  </conditionalFormatting>
  <conditionalFormatting sqref="M55">
    <cfRule type="cellIs" dxfId="701" priority="725" stopIfTrue="1" operator="equal">
      <formula>"N/A"</formula>
    </cfRule>
  </conditionalFormatting>
  <conditionalFormatting sqref="N55">
    <cfRule type="expression" dxfId="700" priority="722" stopIfTrue="1">
      <formula>IF(OR(N55="Y",N55="y",N55="Partial",N55="partial"),TRUE,FALSE)=FALSE</formula>
    </cfRule>
    <cfRule type="expression" dxfId="699" priority="723" stopIfTrue="1">
      <formula>IF(OR(N55="Partial",N55="partial"),TRUE,FALSE)=TRUE</formula>
    </cfRule>
    <cfRule type="expression" dxfId="698" priority="724" stopIfTrue="1">
      <formula>IF(OR(N55="Y",N55="y"),TRUE,FALSE)=TRUE</formula>
    </cfRule>
  </conditionalFormatting>
  <conditionalFormatting sqref="N55">
    <cfRule type="cellIs" dxfId="697" priority="721" stopIfTrue="1" operator="equal">
      <formula>"N/A"</formula>
    </cfRule>
  </conditionalFormatting>
  <conditionalFormatting sqref="O55">
    <cfRule type="expression" dxfId="696" priority="718" stopIfTrue="1">
      <formula>IF(OR(O55="Y",O55="y",O55="Partial",O55="partial"),TRUE,FALSE)=FALSE</formula>
    </cfRule>
    <cfRule type="expression" dxfId="695" priority="719" stopIfTrue="1">
      <formula>IF(OR(O55="Partial",O55="partial"),TRUE,FALSE)=TRUE</formula>
    </cfRule>
    <cfRule type="expression" dxfId="694" priority="720" stopIfTrue="1">
      <formula>IF(OR(O55="Y",O55="y"),TRUE,FALSE)=TRUE</formula>
    </cfRule>
  </conditionalFormatting>
  <conditionalFormatting sqref="O55">
    <cfRule type="cellIs" dxfId="693" priority="717" stopIfTrue="1" operator="equal">
      <formula>"N/A"</formula>
    </cfRule>
  </conditionalFormatting>
  <conditionalFormatting sqref="P55">
    <cfRule type="expression" dxfId="692" priority="714" stopIfTrue="1">
      <formula>IF(OR(P55="Y",P55="y",P55="Partial",P55="partial"),TRUE,FALSE)=FALSE</formula>
    </cfRule>
    <cfRule type="expression" dxfId="691" priority="715" stopIfTrue="1">
      <formula>IF(OR(P55="Partial",P55="partial"),TRUE,FALSE)=TRUE</formula>
    </cfRule>
    <cfRule type="expression" dxfId="690" priority="716" stopIfTrue="1">
      <formula>IF(OR(P55="Y",P55="y"),TRUE,FALSE)=TRUE</formula>
    </cfRule>
  </conditionalFormatting>
  <conditionalFormatting sqref="P55">
    <cfRule type="cellIs" dxfId="689" priority="713" stopIfTrue="1" operator="equal">
      <formula>"N/A"</formula>
    </cfRule>
  </conditionalFormatting>
  <conditionalFormatting sqref="R55">
    <cfRule type="expression" dxfId="688" priority="706" stopIfTrue="1">
      <formula>IF(OR(R55="Y",R55="y",R55="Partial",R55="partial"),TRUE,FALSE)=FALSE</formula>
    </cfRule>
    <cfRule type="expression" dxfId="687" priority="707" stopIfTrue="1">
      <formula>IF(OR(R55="Partial",R55="partial"),TRUE,FALSE)=TRUE</formula>
    </cfRule>
    <cfRule type="expression" dxfId="686" priority="708" stopIfTrue="1">
      <formula>IF(OR(R55="Y",R55="y"),TRUE,FALSE)=TRUE</formula>
    </cfRule>
  </conditionalFormatting>
  <conditionalFormatting sqref="R55">
    <cfRule type="cellIs" dxfId="685" priority="705" stopIfTrue="1" operator="equal">
      <formula>"N/A"</formula>
    </cfRule>
  </conditionalFormatting>
  <conditionalFormatting sqref="S55">
    <cfRule type="expression" dxfId="684" priority="702" stopIfTrue="1">
      <formula>IF(OR(S55="Y",S55="y",S55="Partial",S55="partial"),TRUE,FALSE)=FALSE</formula>
    </cfRule>
    <cfRule type="expression" dxfId="683" priority="703" stopIfTrue="1">
      <formula>IF(OR(S55="Partial",S55="partial"),TRUE,FALSE)=TRUE</formula>
    </cfRule>
    <cfRule type="expression" dxfId="682" priority="704" stopIfTrue="1">
      <formula>IF(OR(S55="Y",S55="y"),TRUE,FALSE)=TRUE</formula>
    </cfRule>
  </conditionalFormatting>
  <conditionalFormatting sqref="S55">
    <cfRule type="cellIs" dxfId="681" priority="701" stopIfTrue="1" operator="equal">
      <formula>"N/A"</formula>
    </cfRule>
  </conditionalFormatting>
  <conditionalFormatting sqref="T55">
    <cfRule type="expression" dxfId="680" priority="698" stopIfTrue="1">
      <formula>IF(OR(T55="Y",T55="y",T55="Partial",T55="partial"),TRUE,FALSE)=FALSE</formula>
    </cfRule>
    <cfRule type="expression" dxfId="679" priority="699" stopIfTrue="1">
      <formula>IF(OR(T55="Partial",T55="partial"),TRUE,FALSE)=TRUE</formula>
    </cfRule>
    <cfRule type="expression" dxfId="678" priority="700" stopIfTrue="1">
      <formula>IF(OR(T55="Y",T55="y"),TRUE,FALSE)=TRUE</formula>
    </cfRule>
  </conditionalFormatting>
  <conditionalFormatting sqref="T55">
    <cfRule type="cellIs" dxfId="677" priority="697" stopIfTrue="1" operator="equal">
      <formula>"N/A"</formula>
    </cfRule>
  </conditionalFormatting>
  <conditionalFormatting sqref="U55">
    <cfRule type="expression" dxfId="676" priority="694" stopIfTrue="1">
      <formula>IF(OR(U55="Y",U55="y",U55="Partial",U55="partial"),TRUE,FALSE)=FALSE</formula>
    </cfRule>
    <cfRule type="expression" dxfId="675" priority="695" stopIfTrue="1">
      <formula>IF(OR(U55="Partial",U55="partial"),TRUE,FALSE)=TRUE</formula>
    </cfRule>
    <cfRule type="expression" dxfId="674" priority="696" stopIfTrue="1">
      <formula>IF(OR(U55="Y",U55="y"),TRUE,FALSE)=TRUE</formula>
    </cfRule>
  </conditionalFormatting>
  <conditionalFormatting sqref="U55">
    <cfRule type="cellIs" dxfId="673" priority="693" stopIfTrue="1" operator="equal">
      <formula>"N/A"</formula>
    </cfRule>
  </conditionalFormatting>
  <conditionalFormatting sqref="V55">
    <cfRule type="expression" dxfId="672" priority="690" stopIfTrue="1">
      <formula>IF(OR(V55="Y",V55="y",V55="Partial",V55="partial"),TRUE,FALSE)=FALSE</formula>
    </cfRule>
    <cfRule type="expression" dxfId="671" priority="691" stopIfTrue="1">
      <formula>IF(OR(V55="Partial",V55="partial"),TRUE,FALSE)=TRUE</formula>
    </cfRule>
    <cfRule type="expression" dxfId="670" priority="692" stopIfTrue="1">
      <formula>IF(OR(V55="Y",V55="y"),TRUE,FALSE)=TRUE</formula>
    </cfRule>
  </conditionalFormatting>
  <conditionalFormatting sqref="V55">
    <cfRule type="cellIs" dxfId="669" priority="689" stopIfTrue="1" operator="equal">
      <formula>"N/A"</formula>
    </cfRule>
  </conditionalFormatting>
  <conditionalFormatting sqref="W55">
    <cfRule type="expression" dxfId="668" priority="686" stopIfTrue="1">
      <formula>IF(OR(W55="Y",W55="y",W55="Partial",W55="partial"),TRUE,FALSE)=FALSE</formula>
    </cfRule>
    <cfRule type="expression" dxfId="667" priority="687" stopIfTrue="1">
      <formula>IF(OR(W55="Partial",W55="partial"),TRUE,FALSE)=TRUE</formula>
    </cfRule>
    <cfRule type="expression" dxfId="666" priority="688" stopIfTrue="1">
      <formula>IF(OR(W55="Y",W55="y"),TRUE,FALSE)=TRUE</formula>
    </cfRule>
  </conditionalFormatting>
  <conditionalFormatting sqref="W55">
    <cfRule type="cellIs" dxfId="665" priority="685" stopIfTrue="1" operator="equal">
      <formula>"N/A"</formula>
    </cfRule>
  </conditionalFormatting>
  <conditionalFormatting sqref="X55">
    <cfRule type="expression" dxfId="664" priority="682" stopIfTrue="1">
      <formula>IF(OR(X55="Y",X55="y",X55="Partial",X55="partial"),TRUE,FALSE)=FALSE</formula>
    </cfRule>
    <cfRule type="expression" dxfId="663" priority="683" stopIfTrue="1">
      <formula>IF(OR(X55="Partial",X55="partial"),TRUE,FALSE)=TRUE</formula>
    </cfRule>
    <cfRule type="expression" dxfId="662" priority="684" stopIfTrue="1">
      <formula>IF(OR(X55="Y",X55="y"),TRUE,FALSE)=TRUE</formula>
    </cfRule>
  </conditionalFormatting>
  <conditionalFormatting sqref="X55">
    <cfRule type="cellIs" dxfId="661" priority="681" stopIfTrue="1" operator="equal">
      <formula>"N/A"</formula>
    </cfRule>
  </conditionalFormatting>
  <conditionalFormatting sqref="H56">
    <cfRule type="expression" dxfId="660" priority="678" stopIfTrue="1">
      <formula>IF(OR(H56="Y",H56="y",H56="Partial",H56="partial"),TRUE,FALSE)=FALSE</formula>
    </cfRule>
    <cfRule type="expression" dxfId="659" priority="679" stopIfTrue="1">
      <formula>IF(OR(H56="Partial",H56="partial"),TRUE,FALSE)=TRUE</formula>
    </cfRule>
    <cfRule type="expression" dxfId="658" priority="680" stopIfTrue="1">
      <formula>IF(OR(H56="Y",H56="y"),TRUE,FALSE)=TRUE</formula>
    </cfRule>
  </conditionalFormatting>
  <conditionalFormatting sqref="H56">
    <cfRule type="cellIs" dxfId="657" priority="677" stopIfTrue="1" operator="equal">
      <formula>"N/A"</formula>
    </cfRule>
  </conditionalFormatting>
  <conditionalFormatting sqref="I56">
    <cfRule type="expression" dxfId="656" priority="674" stopIfTrue="1">
      <formula>IF(OR(I56="Y",I56="y",I56="Partial",I56="partial"),TRUE,FALSE)=FALSE</formula>
    </cfRule>
    <cfRule type="expression" dxfId="655" priority="675" stopIfTrue="1">
      <formula>IF(OR(I56="Partial",I56="partial"),TRUE,FALSE)=TRUE</formula>
    </cfRule>
    <cfRule type="expression" dxfId="654" priority="676" stopIfTrue="1">
      <formula>IF(OR(I56="Y",I56="y"),TRUE,FALSE)=TRUE</formula>
    </cfRule>
  </conditionalFormatting>
  <conditionalFormatting sqref="I56">
    <cfRule type="cellIs" dxfId="653" priority="673" stopIfTrue="1" operator="equal">
      <formula>"N/A"</formula>
    </cfRule>
  </conditionalFormatting>
  <conditionalFormatting sqref="J56">
    <cfRule type="expression" dxfId="652" priority="670" stopIfTrue="1">
      <formula>IF(OR(J56="Y",J56="y",J56="Partial",J56="partial"),TRUE,FALSE)=FALSE</formula>
    </cfRule>
    <cfRule type="expression" dxfId="651" priority="671" stopIfTrue="1">
      <formula>IF(OR(J56="Partial",J56="partial"),TRUE,FALSE)=TRUE</formula>
    </cfRule>
    <cfRule type="expression" dxfId="650" priority="672" stopIfTrue="1">
      <formula>IF(OR(J56="Y",J56="y"),TRUE,FALSE)=TRUE</formula>
    </cfRule>
  </conditionalFormatting>
  <conditionalFormatting sqref="J56">
    <cfRule type="cellIs" dxfId="649" priority="669" stopIfTrue="1" operator="equal">
      <formula>"N/A"</formula>
    </cfRule>
  </conditionalFormatting>
  <conditionalFormatting sqref="K56">
    <cfRule type="expression" dxfId="648" priority="666" stopIfTrue="1">
      <formula>IF(OR(K56="Y",K56="y",K56="Partial",K56="partial"),TRUE,FALSE)=FALSE</formula>
    </cfRule>
    <cfRule type="expression" dxfId="647" priority="667" stopIfTrue="1">
      <formula>IF(OR(K56="Partial",K56="partial"),TRUE,FALSE)=TRUE</formula>
    </cfRule>
    <cfRule type="expression" dxfId="646" priority="668" stopIfTrue="1">
      <formula>IF(OR(K56="Y",K56="y"),TRUE,FALSE)=TRUE</formula>
    </cfRule>
  </conditionalFormatting>
  <conditionalFormatting sqref="K56">
    <cfRule type="cellIs" dxfId="645" priority="665" stopIfTrue="1" operator="equal">
      <formula>"N/A"</formula>
    </cfRule>
  </conditionalFormatting>
  <conditionalFormatting sqref="L56">
    <cfRule type="expression" dxfId="644" priority="662" stopIfTrue="1">
      <formula>IF(OR(L56="Y",L56="y",L56="Partial",L56="partial"),TRUE,FALSE)=FALSE</formula>
    </cfRule>
    <cfRule type="expression" dxfId="643" priority="663" stopIfTrue="1">
      <formula>IF(OR(L56="Partial",L56="partial"),TRUE,FALSE)=TRUE</formula>
    </cfRule>
    <cfRule type="expression" dxfId="642" priority="664" stopIfTrue="1">
      <formula>IF(OR(L56="Y",L56="y"),TRUE,FALSE)=TRUE</formula>
    </cfRule>
  </conditionalFormatting>
  <conditionalFormatting sqref="L56">
    <cfRule type="cellIs" dxfId="641" priority="661" stopIfTrue="1" operator="equal">
      <formula>"N/A"</formula>
    </cfRule>
  </conditionalFormatting>
  <conditionalFormatting sqref="M56">
    <cfRule type="expression" dxfId="640" priority="658" stopIfTrue="1">
      <formula>IF(OR(M56="Y",M56="y",M56="Partial",M56="partial"),TRUE,FALSE)=FALSE</formula>
    </cfRule>
    <cfRule type="expression" dxfId="639" priority="659" stopIfTrue="1">
      <formula>IF(OR(M56="Partial",M56="partial"),TRUE,FALSE)=TRUE</formula>
    </cfRule>
    <cfRule type="expression" dxfId="638" priority="660" stopIfTrue="1">
      <formula>IF(OR(M56="Y",M56="y"),TRUE,FALSE)=TRUE</formula>
    </cfRule>
  </conditionalFormatting>
  <conditionalFormatting sqref="M56">
    <cfRule type="cellIs" dxfId="637" priority="657" stopIfTrue="1" operator="equal">
      <formula>"N/A"</formula>
    </cfRule>
  </conditionalFormatting>
  <conditionalFormatting sqref="N56">
    <cfRule type="expression" dxfId="636" priority="654" stopIfTrue="1">
      <formula>IF(OR(N56="Y",N56="y",N56="Partial",N56="partial"),TRUE,FALSE)=FALSE</formula>
    </cfRule>
    <cfRule type="expression" dxfId="635" priority="655" stopIfTrue="1">
      <formula>IF(OR(N56="Partial",N56="partial"),TRUE,FALSE)=TRUE</formula>
    </cfRule>
    <cfRule type="expression" dxfId="634" priority="656" stopIfTrue="1">
      <formula>IF(OR(N56="Y",N56="y"),TRUE,FALSE)=TRUE</formula>
    </cfRule>
  </conditionalFormatting>
  <conditionalFormatting sqref="N56">
    <cfRule type="cellIs" dxfId="633" priority="653" stopIfTrue="1" operator="equal">
      <formula>"N/A"</formula>
    </cfRule>
  </conditionalFormatting>
  <conditionalFormatting sqref="O56">
    <cfRule type="expression" dxfId="632" priority="650" stopIfTrue="1">
      <formula>IF(OR(O56="Y",O56="y",O56="Partial",O56="partial"),TRUE,FALSE)=FALSE</formula>
    </cfRule>
    <cfRule type="expression" dxfId="631" priority="651" stopIfTrue="1">
      <formula>IF(OR(O56="Partial",O56="partial"),TRUE,FALSE)=TRUE</formula>
    </cfRule>
    <cfRule type="expression" dxfId="630" priority="652" stopIfTrue="1">
      <formula>IF(OR(O56="Y",O56="y"),TRUE,FALSE)=TRUE</formula>
    </cfRule>
  </conditionalFormatting>
  <conditionalFormatting sqref="O56">
    <cfRule type="cellIs" dxfId="629" priority="649" stopIfTrue="1" operator="equal">
      <formula>"N/A"</formula>
    </cfRule>
  </conditionalFormatting>
  <conditionalFormatting sqref="P56">
    <cfRule type="expression" dxfId="628" priority="646" stopIfTrue="1">
      <formula>IF(OR(P56="Y",P56="y",P56="Partial",P56="partial"),TRUE,FALSE)=FALSE</formula>
    </cfRule>
    <cfRule type="expression" dxfId="627" priority="647" stopIfTrue="1">
      <formula>IF(OR(P56="Partial",P56="partial"),TRUE,FALSE)=TRUE</formula>
    </cfRule>
    <cfRule type="expression" dxfId="626" priority="648" stopIfTrue="1">
      <formula>IF(OR(P56="Y",P56="y"),TRUE,FALSE)=TRUE</formula>
    </cfRule>
  </conditionalFormatting>
  <conditionalFormatting sqref="P56">
    <cfRule type="cellIs" dxfId="625" priority="645" stopIfTrue="1" operator="equal">
      <formula>"N/A"</formula>
    </cfRule>
  </conditionalFormatting>
  <conditionalFormatting sqref="R56">
    <cfRule type="expression" dxfId="624" priority="638" stopIfTrue="1">
      <formula>IF(OR(R56="Y",R56="y",R56="Partial",R56="partial"),TRUE,FALSE)=FALSE</formula>
    </cfRule>
    <cfRule type="expression" dxfId="623" priority="639" stopIfTrue="1">
      <formula>IF(OR(R56="Partial",R56="partial"),TRUE,FALSE)=TRUE</formula>
    </cfRule>
    <cfRule type="expression" dxfId="622" priority="640" stopIfTrue="1">
      <formula>IF(OR(R56="Y",R56="y"),TRUE,FALSE)=TRUE</formula>
    </cfRule>
  </conditionalFormatting>
  <conditionalFormatting sqref="R56">
    <cfRule type="cellIs" dxfId="621" priority="637" stopIfTrue="1" operator="equal">
      <formula>"N/A"</formula>
    </cfRule>
  </conditionalFormatting>
  <conditionalFormatting sqref="S56">
    <cfRule type="expression" dxfId="620" priority="634" stopIfTrue="1">
      <formula>IF(OR(S56="Y",S56="y",S56="Partial",S56="partial"),TRUE,FALSE)=FALSE</formula>
    </cfRule>
    <cfRule type="expression" dxfId="619" priority="635" stopIfTrue="1">
      <formula>IF(OR(S56="Partial",S56="partial"),TRUE,FALSE)=TRUE</formula>
    </cfRule>
    <cfRule type="expression" dxfId="618" priority="636" stopIfTrue="1">
      <formula>IF(OR(S56="Y",S56="y"),TRUE,FALSE)=TRUE</formula>
    </cfRule>
  </conditionalFormatting>
  <conditionalFormatting sqref="S56">
    <cfRule type="cellIs" dxfId="617" priority="633" stopIfTrue="1" operator="equal">
      <formula>"N/A"</formula>
    </cfRule>
  </conditionalFormatting>
  <conditionalFormatting sqref="T56">
    <cfRule type="expression" dxfId="616" priority="630" stopIfTrue="1">
      <formula>IF(OR(T56="Y",T56="y",T56="Partial",T56="partial"),TRUE,FALSE)=FALSE</formula>
    </cfRule>
    <cfRule type="expression" dxfId="615" priority="631" stopIfTrue="1">
      <formula>IF(OR(T56="Partial",T56="partial"),TRUE,FALSE)=TRUE</formula>
    </cfRule>
    <cfRule type="expression" dxfId="614" priority="632" stopIfTrue="1">
      <formula>IF(OR(T56="Y",T56="y"),TRUE,FALSE)=TRUE</formula>
    </cfRule>
  </conditionalFormatting>
  <conditionalFormatting sqref="T56">
    <cfRule type="cellIs" dxfId="613" priority="629" stopIfTrue="1" operator="equal">
      <formula>"N/A"</formula>
    </cfRule>
  </conditionalFormatting>
  <conditionalFormatting sqref="U56">
    <cfRule type="expression" dxfId="612" priority="626" stopIfTrue="1">
      <formula>IF(OR(U56="Y",U56="y",U56="Partial",U56="partial"),TRUE,FALSE)=FALSE</formula>
    </cfRule>
    <cfRule type="expression" dxfId="611" priority="627" stopIfTrue="1">
      <formula>IF(OR(U56="Partial",U56="partial"),TRUE,FALSE)=TRUE</formula>
    </cfRule>
    <cfRule type="expression" dxfId="610" priority="628" stopIfTrue="1">
      <formula>IF(OR(U56="Y",U56="y"),TRUE,FALSE)=TRUE</formula>
    </cfRule>
  </conditionalFormatting>
  <conditionalFormatting sqref="U56">
    <cfRule type="cellIs" dxfId="609" priority="625" stopIfTrue="1" operator="equal">
      <formula>"N/A"</formula>
    </cfRule>
  </conditionalFormatting>
  <conditionalFormatting sqref="V56">
    <cfRule type="expression" dxfId="608" priority="622" stopIfTrue="1">
      <formula>IF(OR(V56="Y",V56="y",V56="Partial",V56="partial"),TRUE,FALSE)=FALSE</formula>
    </cfRule>
    <cfRule type="expression" dxfId="607" priority="623" stopIfTrue="1">
      <formula>IF(OR(V56="Partial",V56="partial"),TRUE,FALSE)=TRUE</formula>
    </cfRule>
    <cfRule type="expression" dxfId="606" priority="624" stopIfTrue="1">
      <formula>IF(OR(V56="Y",V56="y"),TRUE,FALSE)=TRUE</formula>
    </cfRule>
  </conditionalFormatting>
  <conditionalFormatting sqref="V56">
    <cfRule type="cellIs" dxfId="605" priority="621" stopIfTrue="1" operator="equal">
      <formula>"N/A"</formula>
    </cfRule>
  </conditionalFormatting>
  <conditionalFormatting sqref="W56">
    <cfRule type="expression" dxfId="604" priority="618" stopIfTrue="1">
      <formula>IF(OR(W56="Y",W56="y",W56="Partial",W56="partial"),TRUE,FALSE)=FALSE</formula>
    </cfRule>
    <cfRule type="expression" dxfId="603" priority="619" stopIfTrue="1">
      <formula>IF(OR(W56="Partial",W56="partial"),TRUE,FALSE)=TRUE</formula>
    </cfRule>
    <cfRule type="expression" dxfId="602" priority="620" stopIfTrue="1">
      <formula>IF(OR(W56="Y",W56="y"),TRUE,FALSE)=TRUE</formula>
    </cfRule>
  </conditionalFormatting>
  <conditionalFormatting sqref="W56">
    <cfRule type="cellIs" dxfId="601" priority="617" stopIfTrue="1" operator="equal">
      <formula>"N/A"</formula>
    </cfRule>
  </conditionalFormatting>
  <conditionalFormatting sqref="X56">
    <cfRule type="expression" dxfId="600" priority="614" stopIfTrue="1">
      <formula>IF(OR(X56="Y",X56="y",X56="Partial",X56="partial"),TRUE,FALSE)=FALSE</formula>
    </cfRule>
    <cfRule type="expression" dxfId="599" priority="615" stopIfTrue="1">
      <formula>IF(OR(X56="Partial",X56="partial"),TRUE,FALSE)=TRUE</formula>
    </cfRule>
    <cfRule type="expression" dxfId="598" priority="616" stopIfTrue="1">
      <formula>IF(OR(X56="Y",X56="y"),TRUE,FALSE)=TRUE</formula>
    </cfRule>
  </conditionalFormatting>
  <conditionalFormatting sqref="X56">
    <cfRule type="cellIs" dxfId="597" priority="613" stopIfTrue="1" operator="equal">
      <formula>"N/A"</formula>
    </cfRule>
  </conditionalFormatting>
  <conditionalFormatting sqref="H57">
    <cfRule type="expression" dxfId="596" priority="609" stopIfTrue="1">
      <formula>ISNUMBER(H57)=FALSE</formula>
    </cfRule>
    <cfRule type="cellIs" dxfId="595" priority="610" stopIfTrue="1" operator="greaterThan">
      <formula>15</formula>
    </cfRule>
    <cfRule type="cellIs" dxfId="594" priority="611" stopIfTrue="1" operator="between">
      <formula>10</formula>
      <formula>15</formula>
    </cfRule>
    <cfRule type="cellIs" dxfId="593" priority="612" stopIfTrue="1" operator="lessThan">
      <formula>10</formula>
    </cfRule>
  </conditionalFormatting>
  <conditionalFormatting sqref="H57">
    <cfRule type="cellIs" dxfId="592" priority="608" stopIfTrue="1" operator="equal">
      <formula>"N/A"</formula>
    </cfRule>
  </conditionalFormatting>
  <conditionalFormatting sqref="H57">
    <cfRule type="notContainsBlanks" dxfId="591" priority="607" stopIfTrue="1">
      <formula>LEN(TRIM(H57))&gt;0</formula>
    </cfRule>
  </conditionalFormatting>
  <conditionalFormatting sqref="I57">
    <cfRule type="expression" dxfId="590" priority="603" stopIfTrue="1">
      <formula>ISNUMBER(I57)=FALSE</formula>
    </cfRule>
    <cfRule type="cellIs" dxfId="589" priority="604" stopIfTrue="1" operator="greaterThan">
      <formula>15</formula>
    </cfRule>
    <cfRule type="cellIs" dxfId="588" priority="605" stopIfTrue="1" operator="between">
      <formula>10</formula>
      <formula>15</formula>
    </cfRule>
    <cfRule type="cellIs" dxfId="587" priority="606" stopIfTrue="1" operator="lessThan">
      <formula>10</formula>
    </cfRule>
  </conditionalFormatting>
  <conditionalFormatting sqref="I57">
    <cfRule type="cellIs" dxfId="586" priority="602" stopIfTrue="1" operator="equal">
      <formula>"N/A"</formula>
    </cfRule>
  </conditionalFormatting>
  <conditionalFormatting sqref="I57">
    <cfRule type="notContainsBlanks" dxfId="585" priority="601" stopIfTrue="1">
      <formula>LEN(TRIM(I57))&gt;0</formula>
    </cfRule>
  </conditionalFormatting>
  <conditionalFormatting sqref="J57">
    <cfRule type="expression" dxfId="584" priority="597" stopIfTrue="1">
      <formula>ISNUMBER(J57)=FALSE</formula>
    </cfRule>
    <cfRule type="cellIs" dxfId="583" priority="598" stopIfTrue="1" operator="greaterThan">
      <formula>15</formula>
    </cfRule>
    <cfRule type="cellIs" dxfId="582" priority="599" stopIfTrue="1" operator="between">
      <formula>10</formula>
      <formula>15</formula>
    </cfRule>
    <cfRule type="cellIs" dxfId="581" priority="600" stopIfTrue="1" operator="lessThan">
      <formula>10</formula>
    </cfRule>
  </conditionalFormatting>
  <conditionalFormatting sqref="J57">
    <cfRule type="cellIs" dxfId="580" priority="596" stopIfTrue="1" operator="equal">
      <formula>"N/A"</formula>
    </cfRule>
  </conditionalFormatting>
  <conditionalFormatting sqref="J57">
    <cfRule type="notContainsBlanks" dxfId="579" priority="595" stopIfTrue="1">
      <formula>LEN(TRIM(J57))&gt;0</formula>
    </cfRule>
  </conditionalFormatting>
  <conditionalFormatting sqref="K57">
    <cfRule type="expression" dxfId="578" priority="591" stopIfTrue="1">
      <formula>ISNUMBER(K57)=FALSE</formula>
    </cfRule>
    <cfRule type="cellIs" dxfId="577" priority="592" stopIfTrue="1" operator="greaterThan">
      <formula>15</formula>
    </cfRule>
    <cfRule type="cellIs" dxfId="576" priority="593" stopIfTrue="1" operator="between">
      <formula>10</formula>
      <formula>15</formula>
    </cfRule>
    <cfRule type="cellIs" dxfId="575" priority="594" stopIfTrue="1" operator="lessThan">
      <formula>10</formula>
    </cfRule>
  </conditionalFormatting>
  <conditionalFormatting sqref="K57">
    <cfRule type="cellIs" dxfId="574" priority="590" stopIfTrue="1" operator="equal">
      <formula>"N/A"</formula>
    </cfRule>
  </conditionalFormatting>
  <conditionalFormatting sqref="K57">
    <cfRule type="notContainsBlanks" dxfId="573" priority="589" stopIfTrue="1">
      <formula>LEN(TRIM(K57))&gt;0</formula>
    </cfRule>
  </conditionalFormatting>
  <conditionalFormatting sqref="L57">
    <cfRule type="expression" dxfId="572" priority="585" stopIfTrue="1">
      <formula>ISNUMBER(L57)=FALSE</formula>
    </cfRule>
    <cfRule type="cellIs" dxfId="571" priority="586" stopIfTrue="1" operator="greaterThan">
      <formula>15</formula>
    </cfRule>
    <cfRule type="cellIs" dxfId="570" priority="587" stopIfTrue="1" operator="between">
      <formula>10</formula>
      <formula>15</formula>
    </cfRule>
    <cfRule type="cellIs" dxfId="569" priority="588" stopIfTrue="1" operator="lessThan">
      <formula>10</formula>
    </cfRule>
  </conditionalFormatting>
  <conditionalFormatting sqref="L57">
    <cfRule type="cellIs" dxfId="568" priority="584" stopIfTrue="1" operator="equal">
      <formula>"N/A"</formula>
    </cfRule>
  </conditionalFormatting>
  <conditionalFormatting sqref="L57">
    <cfRule type="notContainsBlanks" dxfId="567" priority="583" stopIfTrue="1">
      <formula>LEN(TRIM(L57))&gt;0</formula>
    </cfRule>
  </conditionalFormatting>
  <conditionalFormatting sqref="M57">
    <cfRule type="expression" dxfId="566" priority="579" stopIfTrue="1">
      <formula>ISNUMBER(M57)=FALSE</formula>
    </cfRule>
    <cfRule type="cellIs" dxfId="565" priority="580" stopIfTrue="1" operator="greaterThan">
      <formula>15</formula>
    </cfRule>
    <cfRule type="cellIs" dxfId="564" priority="581" stopIfTrue="1" operator="between">
      <formula>10</formula>
      <formula>15</formula>
    </cfRule>
    <cfRule type="cellIs" dxfId="563" priority="582" stopIfTrue="1" operator="lessThan">
      <formula>10</formula>
    </cfRule>
  </conditionalFormatting>
  <conditionalFormatting sqref="M57">
    <cfRule type="cellIs" dxfId="562" priority="578" stopIfTrue="1" operator="equal">
      <formula>"N/A"</formula>
    </cfRule>
  </conditionalFormatting>
  <conditionalFormatting sqref="M57">
    <cfRule type="notContainsBlanks" dxfId="561" priority="577" stopIfTrue="1">
      <formula>LEN(TRIM(M57))&gt;0</formula>
    </cfRule>
  </conditionalFormatting>
  <conditionalFormatting sqref="N57">
    <cfRule type="expression" dxfId="560" priority="573" stopIfTrue="1">
      <formula>ISNUMBER(N57)=FALSE</formula>
    </cfRule>
    <cfRule type="cellIs" dxfId="559" priority="574" stopIfTrue="1" operator="greaterThan">
      <formula>15</formula>
    </cfRule>
    <cfRule type="cellIs" dxfId="558" priority="575" stopIfTrue="1" operator="between">
      <formula>10</formula>
      <formula>15</formula>
    </cfRule>
    <cfRule type="cellIs" dxfId="557" priority="576" stopIfTrue="1" operator="lessThan">
      <formula>10</formula>
    </cfRule>
  </conditionalFormatting>
  <conditionalFormatting sqref="N57">
    <cfRule type="cellIs" dxfId="556" priority="572" stopIfTrue="1" operator="equal">
      <formula>"N/A"</formula>
    </cfRule>
  </conditionalFormatting>
  <conditionalFormatting sqref="N57">
    <cfRule type="notContainsBlanks" dxfId="555" priority="571" stopIfTrue="1">
      <formula>LEN(TRIM(N57))&gt;0</formula>
    </cfRule>
  </conditionalFormatting>
  <conditionalFormatting sqref="O57">
    <cfRule type="expression" dxfId="554" priority="567" stopIfTrue="1">
      <formula>ISNUMBER(O57)=FALSE</formula>
    </cfRule>
    <cfRule type="cellIs" dxfId="553" priority="568" stopIfTrue="1" operator="greaterThan">
      <formula>15</formula>
    </cfRule>
    <cfRule type="cellIs" dxfId="552" priority="569" stopIfTrue="1" operator="between">
      <formula>10</formula>
      <formula>15</formula>
    </cfRule>
    <cfRule type="cellIs" dxfId="551" priority="570" stopIfTrue="1" operator="lessThan">
      <formula>10</formula>
    </cfRule>
  </conditionalFormatting>
  <conditionalFormatting sqref="O57">
    <cfRule type="cellIs" dxfId="550" priority="566" stopIfTrue="1" operator="equal">
      <formula>"N/A"</formula>
    </cfRule>
  </conditionalFormatting>
  <conditionalFormatting sqref="O57">
    <cfRule type="notContainsBlanks" dxfId="549" priority="565" stopIfTrue="1">
      <formula>LEN(TRIM(O57))&gt;0</formula>
    </cfRule>
  </conditionalFormatting>
  <conditionalFormatting sqref="P57">
    <cfRule type="expression" dxfId="548" priority="561" stopIfTrue="1">
      <formula>ISNUMBER(P57)=FALSE</formula>
    </cfRule>
    <cfRule type="cellIs" dxfId="547" priority="562" stopIfTrue="1" operator="greaterThan">
      <formula>15</formula>
    </cfRule>
    <cfRule type="cellIs" dxfId="546" priority="563" stopIfTrue="1" operator="between">
      <formula>10</formula>
      <formula>15</formula>
    </cfRule>
    <cfRule type="cellIs" dxfId="545" priority="564" stopIfTrue="1" operator="lessThan">
      <formula>10</formula>
    </cfRule>
  </conditionalFormatting>
  <conditionalFormatting sqref="P57">
    <cfRule type="cellIs" dxfId="544" priority="560" stopIfTrue="1" operator="equal">
      <formula>"N/A"</formula>
    </cfRule>
  </conditionalFormatting>
  <conditionalFormatting sqref="P57">
    <cfRule type="notContainsBlanks" dxfId="543" priority="559" stopIfTrue="1">
      <formula>LEN(TRIM(P57))&gt;0</formula>
    </cfRule>
  </conditionalFormatting>
  <conditionalFormatting sqref="R57">
    <cfRule type="expression" dxfId="542" priority="549" stopIfTrue="1">
      <formula>ISNUMBER(R57)=FALSE</formula>
    </cfRule>
    <cfRule type="cellIs" dxfId="541" priority="550" stopIfTrue="1" operator="greaterThan">
      <formula>15</formula>
    </cfRule>
    <cfRule type="cellIs" dxfId="540" priority="551" stopIfTrue="1" operator="between">
      <formula>10</formula>
      <formula>15</formula>
    </cfRule>
    <cfRule type="cellIs" dxfId="539" priority="552" stopIfTrue="1" operator="lessThan">
      <formula>10</formula>
    </cfRule>
  </conditionalFormatting>
  <conditionalFormatting sqref="R57">
    <cfRule type="cellIs" dxfId="538" priority="548" stopIfTrue="1" operator="equal">
      <formula>"N/A"</formula>
    </cfRule>
  </conditionalFormatting>
  <conditionalFormatting sqref="R57">
    <cfRule type="notContainsBlanks" dxfId="537" priority="547" stopIfTrue="1">
      <formula>LEN(TRIM(R57))&gt;0</formula>
    </cfRule>
  </conditionalFormatting>
  <conditionalFormatting sqref="S57">
    <cfRule type="expression" dxfId="536" priority="543" stopIfTrue="1">
      <formula>ISNUMBER(S57)=FALSE</formula>
    </cfRule>
    <cfRule type="cellIs" dxfId="535" priority="544" stopIfTrue="1" operator="greaterThan">
      <formula>15</formula>
    </cfRule>
    <cfRule type="cellIs" dxfId="534" priority="545" stopIfTrue="1" operator="between">
      <formula>10</formula>
      <formula>15</formula>
    </cfRule>
    <cfRule type="cellIs" dxfId="533" priority="546" stopIfTrue="1" operator="lessThan">
      <formula>10</formula>
    </cfRule>
  </conditionalFormatting>
  <conditionalFormatting sqref="S57">
    <cfRule type="cellIs" dxfId="532" priority="542" stopIfTrue="1" operator="equal">
      <formula>"N/A"</formula>
    </cfRule>
  </conditionalFormatting>
  <conditionalFormatting sqref="S57">
    <cfRule type="notContainsBlanks" dxfId="531" priority="541" stopIfTrue="1">
      <formula>LEN(TRIM(S57))&gt;0</formula>
    </cfRule>
  </conditionalFormatting>
  <conditionalFormatting sqref="T57">
    <cfRule type="expression" dxfId="530" priority="537" stopIfTrue="1">
      <formula>ISNUMBER(T57)=FALSE</formula>
    </cfRule>
    <cfRule type="cellIs" dxfId="529" priority="538" stopIfTrue="1" operator="greaterThan">
      <formula>15</formula>
    </cfRule>
    <cfRule type="cellIs" dxfId="528" priority="539" stopIfTrue="1" operator="between">
      <formula>10</formula>
      <formula>15</formula>
    </cfRule>
    <cfRule type="cellIs" dxfId="527" priority="540" stopIfTrue="1" operator="lessThan">
      <formula>10</formula>
    </cfRule>
  </conditionalFormatting>
  <conditionalFormatting sqref="T57">
    <cfRule type="cellIs" dxfId="526" priority="536" stopIfTrue="1" operator="equal">
      <formula>"N/A"</formula>
    </cfRule>
  </conditionalFormatting>
  <conditionalFormatting sqref="T57">
    <cfRule type="notContainsBlanks" dxfId="525" priority="535" stopIfTrue="1">
      <formula>LEN(TRIM(T57))&gt;0</formula>
    </cfRule>
  </conditionalFormatting>
  <conditionalFormatting sqref="U57">
    <cfRule type="expression" dxfId="524" priority="531" stopIfTrue="1">
      <formula>ISNUMBER(U57)=FALSE</formula>
    </cfRule>
    <cfRule type="cellIs" dxfId="523" priority="532" stopIfTrue="1" operator="greaterThan">
      <formula>15</formula>
    </cfRule>
    <cfRule type="cellIs" dxfId="522" priority="533" stopIfTrue="1" operator="between">
      <formula>10</formula>
      <formula>15</formula>
    </cfRule>
    <cfRule type="cellIs" dxfId="521" priority="534" stopIfTrue="1" operator="lessThan">
      <formula>10</formula>
    </cfRule>
  </conditionalFormatting>
  <conditionalFormatting sqref="U57">
    <cfRule type="cellIs" dxfId="520" priority="530" stopIfTrue="1" operator="equal">
      <formula>"N/A"</formula>
    </cfRule>
  </conditionalFormatting>
  <conditionalFormatting sqref="U57">
    <cfRule type="notContainsBlanks" dxfId="519" priority="529" stopIfTrue="1">
      <formula>LEN(TRIM(U57))&gt;0</formula>
    </cfRule>
  </conditionalFormatting>
  <conditionalFormatting sqref="V57">
    <cfRule type="expression" dxfId="518" priority="525" stopIfTrue="1">
      <formula>ISNUMBER(V57)=FALSE</formula>
    </cfRule>
    <cfRule type="cellIs" dxfId="517" priority="526" stopIfTrue="1" operator="greaterThan">
      <formula>15</formula>
    </cfRule>
    <cfRule type="cellIs" dxfId="516" priority="527" stopIfTrue="1" operator="between">
      <formula>10</formula>
      <formula>15</formula>
    </cfRule>
    <cfRule type="cellIs" dxfId="515" priority="528" stopIfTrue="1" operator="lessThan">
      <formula>10</formula>
    </cfRule>
  </conditionalFormatting>
  <conditionalFormatting sqref="V57">
    <cfRule type="cellIs" dxfId="514" priority="524" stopIfTrue="1" operator="equal">
      <formula>"N/A"</formula>
    </cfRule>
  </conditionalFormatting>
  <conditionalFormatting sqref="V57">
    <cfRule type="notContainsBlanks" dxfId="513" priority="523" stopIfTrue="1">
      <formula>LEN(TRIM(V57))&gt;0</formula>
    </cfRule>
  </conditionalFormatting>
  <conditionalFormatting sqref="W57">
    <cfRule type="expression" dxfId="512" priority="519" stopIfTrue="1">
      <formula>ISNUMBER(W57)=FALSE</formula>
    </cfRule>
    <cfRule type="cellIs" dxfId="511" priority="520" stopIfTrue="1" operator="greaterThan">
      <formula>15</formula>
    </cfRule>
    <cfRule type="cellIs" dxfId="510" priority="521" stopIfTrue="1" operator="between">
      <formula>10</formula>
      <formula>15</formula>
    </cfRule>
    <cfRule type="cellIs" dxfId="509" priority="522" stopIfTrue="1" operator="lessThan">
      <formula>10</formula>
    </cfRule>
  </conditionalFormatting>
  <conditionalFormatting sqref="W57">
    <cfRule type="cellIs" dxfId="508" priority="518" stopIfTrue="1" operator="equal">
      <formula>"N/A"</formula>
    </cfRule>
  </conditionalFormatting>
  <conditionalFormatting sqref="W57">
    <cfRule type="notContainsBlanks" dxfId="507" priority="517" stopIfTrue="1">
      <formula>LEN(TRIM(W57))&gt;0</formula>
    </cfRule>
  </conditionalFormatting>
  <conditionalFormatting sqref="X57">
    <cfRule type="expression" dxfId="506" priority="513" stopIfTrue="1">
      <formula>ISNUMBER(X57)=FALSE</formula>
    </cfRule>
    <cfRule type="cellIs" dxfId="505" priority="514" stopIfTrue="1" operator="greaterThan">
      <formula>15</formula>
    </cfRule>
    <cfRule type="cellIs" dxfId="504" priority="515" stopIfTrue="1" operator="between">
      <formula>10</formula>
      <formula>15</formula>
    </cfRule>
    <cfRule type="cellIs" dxfId="503" priority="516" stopIfTrue="1" operator="lessThan">
      <formula>10</formula>
    </cfRule>
  </conditionalFormatting>
  <conditionalFormatting sqref="X57">
    <cfRule type="cellIs" dxfId="502" priority="512" stopIfTrue="1" operator="equal">
      <formula>"N/A"</formula>
    </cfRule>
  </conditionalFormatting>
  <conditionalFormatting sqref="X57">
    <cfRule type="notContainsBlanks" dxfId="501" priority="511" stopIfTrue="1">
      <formula>LEN(TRIM(X57))&gt;0</formula>
    </cfRule>
  </conditionalFormatting>
  <conditionalFormatting sqref="H58">
    <cfRule type="expression" dxfId="500" priority="507" stopIfTrue="1">
      <formula>ISNUMBER(H58)=FALSE</formula>
    </cfRule>
    <cfRule type="cellIs" dxfId="499" priority="508" stopIfTrue="1" operator="greaterThan">
      <formula>90</formula>
    </cfRule>
    <cfRule type="cellIs" dxfId="498" priority="509" stopIfTrue="1" operator="between">
      <formula>60</formula>
      <formula>90</formula>
    </cfRule>
    <cfRule type="cellIs" dxfId="497" priority="510" stopIfTrue="1" operator="lessThan">
      <formula>60</formula>
    </cfRule>
  </conditionalFormatting>
  <conditionalFormatting sqref="H58">
    <cfRule type="cellIs" dxfId="496" priority="506" stopIfTrue="1" operator="equal">
      <formula>"N/A"</formula>
    </cfRule>
  </conditionalFormatting>
  <conditionalFormatting sqref="H58">
    <cfRule type="notContainsBlanks" dxfId="495" priority="505" stopIfTrue="1">
      <formula>LEN(TRIM(H58))&gt;0</formula>
    </cfRule>
  </conditionalFormatting>
  <conditionalFormatting sqref="I58">
    <cfRule type="expression" dxfId="494" priority="501" stopIfTrue="1">
      <formula>ISNUMBER(I58)=FALSE</formula>
    </cfRule>
    <cfRule type="cellIs" dxfId="493" priority="502" stopIfTrue="1" operator="greaterThan">
      <formula>90</formula>
    </cfRule>
    <cfRule type="cellIs" dxfId="492" priority="503" stopIfTrue="1" operator="between">
      <formula>60</formula>
      <formula>90</formula>
    </cfRule>
    <cfRule type="cellIs" dxfId="491" priority="504" stopIfTrue="1" operator="lessThan">
      <formula>60</formula>
    </cfRule>
  </conditionalFormatting>
  <conditionalFormatting sqref="I58">
    <cfRule type="cellIs" dxfId="490" priority="500" stopIfTrue="1" operator="equal">
      <formula>"N/A"</formula>
    </cfRule>
  </conditionalFormatting>
  <conditionalFormatting sqref="I58">
    <cfRule type="notContainsBlanks" dxfId="489" priority="499" stopIfTrue="1">
      <formula>LEN(TRIM(I58))&gt;0</formula>
    </cfRule>
  </conditionalFormatting>
  <conditionalFormatting sqref="J58">
    <cfRule type="expression" dxfId="488" priority="495" stopIfTrue="1">
      <formula>ISNUMBER(J58)=FALSE</formula>
    </cfRule>
    <cfRule type="cellIs" dxfId="487" priority="496" stopIfTrue="1" operator="greaterThan">
      <formula>90</formula>
    </cfRule>
    <cfRule type="cellIs" dxfId="486" priority="497" stopIfTrue="1" operator="between">
      <formula>60</formula>
      <formula>90</formula>
    </cfRule>
    <cfRule type="cellIs" dxfId="485" priority="498" stopIfTrue="1" operator="lessThan">
      <formula>60</formula>
    </cfRule>
  </conditionalFormatting>
  <conditionalFormatting sqref="J58">
    <cfRule type="cellIs" dxfId="484" priority="494" stopIfTrue="1" operator="equal">
      <formula>"N/A"</formula>
    </cfRule>
  </conditionalFormatting>
  <conditionalFormatting sqref="J58">
    <cfRule type="notContainsBlanks" dxfId="483" priority="493" stopIfTrue="1">
      <formula>LEN(TRIM(J58))&gt;0</formula>
    </cfRule>
  </conditionalFormatting>
  <conditionalFormatting sqref="K58">
    <cfRule type="expression" dxfId="482" priority="489" stopIfTrue="1">
      <formula>ISNUMBER(K58)=FALSE</formula>
    </cfRule>
    <cfRule type="cellIs" dxfId="481" priority="490" stopIfTrue="1" operator="greaterThan">
      <formula>90</formula>
    </cfRule>
    <cfRule type="cellIs" dxfId="480" priority="491" stopIfTrue="1" operator="between">
      <formula>60</formula>
      <formula>90</formula>
    </cfRule>
    <cfRule type="cellIs" dxfId="479" priority="492" stopIfTrue="1" operator="lessThan">
      <formula>60</formula>
    </cfRule>
  </conditionalFormatting>
  <conditionalFormatting sqref="K58">
    <cfRule type="cellIs" dxfId="478" priority="488" stopIfTrue="1" operator="equal">
      <formula>"N/A"</formula>
    </cfRule>
  </conditionalFormatting>
  <conditionalFormatting sqref="K58">
    <cfRule type="notContainsBlanks" dxfId="477" priority="487" stopIfTrue="1">
      <formula>LEN(TRIM(K58))&gt;0</formula>
    </cfRule>
  </conditionalFormatting>
  <conditionalFormatting sqref="L58">
    <cfRule type="expression" dxfId="476" priority="483" stopIfTrue="1">
      <formula>ISNUMBER(L58)=FALSE</formula>
    </cfRule>
    <cfRule type="cellIs" dxfId="475" priority="484" stopIfTrue="1" operator="greaterThan">
      <formula>90</formula>
    </cfRule>
    <cfRule type="cellIs" dxfId="474" priority="485" stopIfTrue="1" operator="between">
      <formula>60</formula>
      <formula>90</formula>
    </cfRule>
    <cfRule type="cellIs" dxfId="473" priority="486" stopIfTrue="1" operator="lessThan">
      <formula>60</formula>
    </cfRule>
  </conditionalFormatting>
  <conditionalFormatting sqref="L58">
    <cfRule type="cellIs" dxfId="472" priority="482" stopIfTrue="1" operator="equal">
      <formula>"N/A"</formula>
    </cfRule>
  </conditionalFormatting>
  <conditionalFormatting sqref="L58">
    <cfRule type="notContainsBlanks" dxfId="471" priority="481" stopIfTrue="1">
      <formula>LEN(TRIM(L58))&gt;0</formula>
    </cfRule>
  </conditionalFormatting>
  <conditionalFormatting sqref="M58">
    <cfRule type="expression" dxfId="470" priority="477" stopIfTrue="1">
      <formula>ISNUMBER(M58)=FALSE</formula>
    </cfRule>
    <cfRule type="cellIs" dxfId="469" priority="478" stopIfTrue="1" operator="greaterThan">
      <formula>90</formula>
    </cfRule>
    <cfRule type="cellIs" dxfId="468" priority="479" stopIfTrue="1" operator="between">
      <formula>60</formula>
      <formula>90</formula>
    </cfRule>
    <cfRule type="cellIs" dxfId="467" priority="480" stopIfTrue="1" operator="lessThan">
      <formula>60</formula>
    </cfRule>
  </conditionalFormatting>
  <conditionalFormatting sqref="M58">
    <cfRule type="cellIs" dxfId="466" priority="476" stopIfTrue="1" operator="equal">
      <formula>"N/A"</formula>
    </cfRule>
  </conditionalFormatting>
  <conditionalFormatting sqref="M58">
    <cfRule type="notContainsBlanks" dxfId="465" priority="475" stopIfTrue="1">
      <formula>LEN(TRIM(M58))&gt;0</formula>
    </cfRule>
  </conditionalFormatting>
  <conditionalFormatting sqref="N58">
    <cfRule type="expression" dxfId="464" priority="471" stopIfTrue="1">
      <formula>ISNUMBER(N58)=FALSE</formula>
    </cfRule>
    <cfRule type="cellIs" dxfId="463" priority="472" stopIfTrue="1" operator="greaterThan">
      <formula>90</formula>
    </cfRule>
    <cfRule type="cellIs" dxfId="462" priority="473" stopIfTrue="1" operator="between">
      <formula>60</formula>
      <formula>90</formula>
    </cfRule>
    <cfRule type="cellIs" dxfId="461" priority="474" stopIfTrue="1" operator="lessThan">
      <formula>60</formula>
    </cfRule>
  </conditionalFormatting>
  <conditionalFormatting sqref="N58">
    <cfRule type="cellIs" dxfId="460" priority="470" stopIfTrue="1" operator="equal">
      <formula>"N/A"</formula>
    </cfRule>
  </conditionalFormatting>
  <conditionalFormatting sqref="N58">
    <cfRule type="notContainsBlanks" dxfId="459" priority="469" stopIfTrue="1">
      <formula>LEN(TRIM(N58))&gt;0</formula>
    </cfRule>
  </conditionalFormatting>
  <conditionalFormatting sqref="O58">
    <cfRule type="expression" dxfId="458" priority="465" stopIfTrue="1">
      <formula>ISNUMBER(O58)=FALSE</formula>
    </cfRule>
    <cfRule type="cellIs" dxfId="457" priority="466" stopIfTrue="1" operator="greaterThan">
      <formula>90</formula>
    </cfRule>
    <cfRule type="cellIs" dxfId="456" priority="467" stopIfTrue="1" operator="between">
      <formula>60</formula>
      <formula>90</formula>
    </cfRule>
    <cfRule type="cellIs" dxfId="455" priority="468" stopIfTrue="1" operator="lessThan">
      <formula>60</formula>
    </cfRule>
  </conditionalFormatting>
  <conditionalFormatting sqref="O58">
    <cfRule type="cellIs" dxfId="454" priority="464" stopIfTrue="1" operator="equal">
      <formula>"N/A"</formula>
    </cfRule>
  </conditionalFormatting>
  <conditionalFormatting sqref="O58">
    <cfRule type="notContainsBlanks" dxfId="453" priority="463" stopIfTrue="1">
      <formula>LEN(TRIM(O58))&gt;0</formula>
    </cfRule>
  </conditionalFormatting>
  <conditionalFormatting sqref="P58">
    <cfRule type="expression" dxfId="452" priority="459" stopIfTrue="1">
      <formula>ISNUMBER(P58)=FALSE</formula>
    </cfRule>
    <cfRule type="cellIs" dxfId="451" priority="460" stopIfTrue="1" operator="greaterThan">
      <formula>90</formula>
    </cfRule>
    <cfRule type="cellIs" dxfId="450" priority="461" stopIfTrue="1" operator="between">
      <formula>60</formula>
      <formula>90</formula>
    </cfRule>
    <cfRule type="cellIs" dxfId="449" priority="462" stopIfTrue="1" operator="lessThan">
      <formula>60</formula>
    </cfRule>
  </conditionalFormatting>
  <conditionalFormatting sqref="P58">
    <cfRule type="cellIs" dxfId="448" priority="458" stopIfTrue="1" operator="equal">
      <formula>"N/A"</formula>
    </cfRule>
  </conditionalFormatting>
  <conditionalFormatting sqref="P58">
    <cfRule type="notContainsBlanks" dxfId="447" priority="457" stopIfTrue="1">
      <formula>LEN(TRIM(P58))&gt;0</formula>
    </cfRule>
  </conditionalFormatting>
  <conditionalFormatting sqref="R58">
    <cfRule type="expression" dxfId="446" priority="447" stopIfTrue="1">
      <formula>ISNUMBER(R58)=FALSE</formula>
    </cfRule>
    <cfRule type="cellIs" dxfId="445" priority="448" stopIfTrue="1" operator="greaterThan">
      <formula>90</formula>
    </cfRule>
    <cfRule type="cellIs" dxfId="444" priority="449" stopIfTrue="1" operator="between">
      <formula>60</formula>
      <formula>90</formula>
    </cfRule>
    <cfRule type="cellIs" dxfId="443" priority="450" stopIfTrue="1" operator="lessThan">
      <formula>60</formula>
    </cfRule>
  </conditionalFormatting>
  <conditionalFormatting sqref="R58">
    <cfRule type="cellIs" dxfId="442" priority="446" stopIfTrue="1" operator="equal">
      <formula>"N/A"</formula>
    </cfRule>
  </conditionalFormatting>
  <conditionalFormatting sqref="R58">
    <cfRule type="notContainsBlanks" dxfId="441" priority="445" stopIfTrue="1">
      <formula>LEN(TRIM(R58))&gt;0</formula>
    </cfRule>
  </conditionalFormatting>
  <conditionalFormatting sqref="S58">
    <cfRule type="expression" dxfId="440" priority="441" stopIfTrue="1">
      <formula>ISNUMBER(S58)=FALSE</formula>
    </cfRule>
    <cfRule type="cellIs" dxfId="439" priority="442" stopIfTrue="1" operator="greaterThan">
      <formula>90</formula>
    </cfRule>
    <cfRule type="cellIs" dxfId="438" priority="443" stopIfTrue="1" operator="between">
      <formula>60</formula>
      <formula>90</formula>
    </cfRule>
    <cfRule type="cellIs" dxfId="437" priority="444" stopIfTrue="1" operator="lessThan">
      <formula>60</formula>
    </cfRule>
  </conditionalFormatting>
  <conditionalFormatting sqref="S58">
    <cfRule type="cellIs" dxfId="436" priority="440" stopIfTrue="1" operator="equal">
      <formula>"N/A"</formula>
    </cfRule>
  </conditionalFormatting>
  <conditionalFormatting sqref="S58">
    <cfRule type="notContainsBlanks" dxfId="435" priority="439" stopIfTrue="1">
      <formula>LEN(TRIM(S58))&gt;0</formula>
    </cfRule>
  </conditionalFormatting>
  <conditionalFormatting sqref="T58">
    <cfRule type="expression" dxfId="434" priority="435" stopIfTrue="1">
      <formula>ISNUMBER(T58)=FALSE</formula>
    </cfRule>
    <cfRule type="cellIs" dxfId="433" priority="436" stopIfTrue="1" operator="greaterThan">
      <formula>90</formula>
    </cfRule>
    <cfRule type="cellIs" dxfId="432" priority="437" stopIfTrue="1" operator="between">
      <formula>60</formula>
      <formula>90</formula>
    </cfRule>
    <cfRule type="cellIs" dxfId="431" priority="438" stopIfTrue="1" operator="lessThan">
      <formula>60</formula>
    </cfRule>
  </conditionalFormatting>
  <conditionalFormatting sqref="T58">
    <cfRule type="cellIs" dxfId="430" priority="434" stopIfTrue="1" operator="equal">
      <formula>"N/A"</formula>
    </cfRule>
  </conditionalFormatting>
  <conditionalFormatting sqref="T58">
    <cfRule type="notContainsBlanks" dxfId="429" priority="433" stopIfTrue="1">
      <formula>LEN(TRIM(T58))&gt;0</formula>
    </cfRule>
  </conditionalFormatting>
  <conditionalFormatting sqref="U58">
    <cfRule type="expression" dxfId="428" priority="429" stopIfTrue="1">
      <formula>ISNUMBER(U58)=FALSE</formula>
    </cfRule>
    <cfRule type="cellIs" dxfId="427" priority="430" stopIfTrue="1" operator="greaterThan">
      <formula>90</formula>
    </cfRule>
    <cfRule type="cellIs" dxfId="426" priority="431" stopIfTrue="1" operator="between">
      <formula>60</formula>
      <formula>90</formula>
    </cfRule>
    <cfRule type="cellIs" dxfId="425" priority="432" stopIfTrue="1" operator="lessThan">
      <formula>60</formula>
    </cfRule>
  </conditionalFormatting>
  <conditionalFormatting sqref="U58">
    <cfRule type="cellIs" dxfId="424" priority="428" stopIfTrue="1" operator="equal">
      <formula>"N/A"</formula>
    </cfRule>
  </conditionalFormatting>
  <conditionalFormatting sqref="U58">
    <cfRule type="notContainsBlanks" dxfId="423" priority="427" stopIfTrue="1">
      <formula>LEN(TRIM(U58))&gt;0</formula>
    </cfRule>
  </conditionalFormatting>
  <conditionalFormatting sqref="V58">
    <cfRule type="expression" dxfId="422" priority="423" stopIfTrue="1">
      <formula>ISNUMBER(V58)=FALSE</formula>
    </cfRule>
    <cfRule type="cellIs" dxfId="421" priority="424" stopIfTrue="1" operator="greaterThan">
      <formula>90</formula>
    </cfRule>
    <cfRule type="cellIs" dxfId="420" priority="425" stopIfTrue="1" operator="between">
      <formula>60</formula>
      <formula>90</formula>
    </cfRule>
    <cfRule type="cellIs" dxfId="419" priority="426" stopIfTrue="1" operator="lessThan">
      <formula>60</formula>
    </cfRule>
  </conditionalFormatting>
  <conditionalFormatting sqref="V58">
    <cfRule type="cellIs" dxfId="418" priority="422" stopIfTrue="1" operator="equal">
      <formula>"N/A"</formula>
    </cfRule>
  </conditionalFormatting>
  <conditionalFormatting sqref="V58">
    <cfRule type="notContainsBlanks" dxfId="417" priority="421" stopIfTrue="1">
      <formula>LEN(TRIM(V58))&gt;0</formula>
    </cfRule>
  </conditionalFormatting>
  <conditionalFormatting sqref="W58">
    <cfRule type="expression" dxfId="416" priority="417" stopIfTrue="1">
      <formula>ISNUMBER(W58)=FALSE</formula>
    </cfRule>
    <cfRule type="cellIs" dxfId="415" priority="418" stopIfTrue="1" operator="greaterThan">
      <formula>90</formula>
    </cfRule>
    <cfRule type="cellIs" dxfId="414" priority="419" stopIfTrue="1" operator="between">
      <formula>60</formula>
      <formula>90</formula>
    </cfRule>
    <cfRule type="cellIs" dxfId="413" priority="420" stopIfTrue="1" operator="lessThan">
      <formula>60</formula>
    </cfRule>
  </conditionalFormatting>
  <conditionalFormatting sqref="W58">
    <cfRule type="cellIs" dxfId="412" priority="416" stopIfTrue="1" operator="equal">
      <formula>"N/A"</formula>
    </cfRule>
  </conditionalFormatting>
  <conditionalFormatting sqref="W58">
    <cfRule type="notContainsBlanks" dxfId="411" priority="415" stopIfTrue="1">
      <formula>LEN(TRIM(W58))&gt;0</formula>
    </cfRule>
  </conditionalFormatting>
  <conditionalFormatting sqref="X58">
    <cfRule type="expression" dxfId="410" priority="411" stopIfTrue="1">
      <formula>ISNUMBER(X58)=FALSE</formula>
    </cfRule>
    <cfRule type="cellIs" dxfId="409" priority="412" stopIfTrue="1" operator="greaterThan">
      <formula>90</formula>
    </cfRule>
    <cfRule type="cellIs" dxfId="408" priority="413" stopIfTrue="1" operator="between">
      <formula>60</formula>
      <formula>90</formula>
    </cfRule>
    <cfRule type="cellIs" dxfId="407" priority="414" stopIfTrue="1" operator="lessThan">
      <formula>60</formula>
    </cfRule>
  </conditionalFormatting>
  <conditionalFormatting sqref="X58">
    <cfRule type="cellIs" dxfId="406" priority="410" stopIfTrue="1" operator="equal">
      <formula>"N/A"</formula>
    </cfRule>
  </conditionalFormatting>
  <conditionalFormatting sqref="X58">
    <cfRule type="notContainsBlanks" dxfId="405" priority="409" stopIfTrue="1">
      <formula>LEN(TRIM(X58))&gt;0</formula>
    </cfRule>
  </conditionalFormatting>
  <conditionalFormatting sqref="H59">
    <cfRule type="expression" dxfId="404" priority="405" stopIfTrue="1">
      <formula>ISNUMBER(H59)=FALSE</formula>
    </cfRule>
    <cfRule type="cellIs" dxfId="403" priority="406" stopIfTrue="1" operator="greaterThan">
      <formula>1</formula>
    </cfRule>
    <cfRule type="cellIs" dxfId="402" priority="407" stopIfTrue="1" operator="equal">
      <formula>1</formula>
    </cfRule>
    <cfRule type="cellIs" dxfId="401" priority="408" stopIfTrue="1" operator="equal">
      <formula>0</formula>
    </cfRule>
  </conditionalFormatting>
  <conditionalFormatting sqref="H59">
    <cfRule type="cellIs" dxfId="400" priority="404" stopIfTrue="1" operator="equal">
      <formula>"N/A"</formula>
    </cfRule>
  </conditionalFormatting>
  <conditionalFormatting sqref="H59">
    <cfRule type="notContainsBlanks" dxfId="399" priority="403" stopIfTrue="1">
      <formula>LEN(TRIM(H59))&gt;0</formula>
    </cfRule>
  </conditionalFormatting>
  <conditionalFormatting sqref="I59">
    <cfRule type="expression" dxfId="398" priority="399" stopIfTrue="1">
      <formula>ISNUMBER(I59)=FALSE</formula>
    </cfRule>
    <cfRule type="cellIs" dxfId="397" priority="400" stopIfTrue="1" operator="greaterThan">
      <formula>1</formula>
    </cfRule>
    <cfRule type="cellIs" dxfId="396" priority="401" stopIfTrue="1" operator="equal">
      <formula>1</formula>
    </cfRule>
    <cfRule type="cellIs" dxfId="395" priority="402" stopIfTrue="1" operator="equal">
      <formula>0</formula>
    </cfRule>
  </conditionalFormatting>
  <conditionalFormatting sqref="I59">
    <cfRule type="cellIs" dxfId="394" priority="398" stopIfTrue="1" operator="equal">
      <formula>"N/A"</formula>
    </cfRule>
  </conditionalFormatting>
  <conditionalFormatting sqref="I59">
    <cfRule type="notContainsBlanks" dxfId="393" priority="397" stopIfTrue="1">
      <formula>LEN(TRIM(I59))&gt;0</formula>
    </cfRule>
  </conditionalFormatting>
  <conditionalFormatting sqref="J59">
    <cfRule type="expression" dxfId="392" priority="393" stopIfTrue="1">
      <formula>ISNUMBER(J59)=FALSE</formula>
    </cfRule>
    <cfRule type="cellIs" dxfId="391" priority="394" stopIfTrue="1" operator="greaterThan">
      <formula>1</formula>
    </cfRule>
    <cfRule type="cellIs" dxfId="390" priority="395" stopIfTrue="1" operator="equal">
      <formula>1</formula>
    </cfRule>
    <cfRule type="cellIs" dxfId="389" priority="396" stopIfTrue="1" operator="equal">
      <formula>0</formula>
    </cfRule>
  </conditionalFormatting>
  <conditionalFormatting sqref="J59">
    <cfRule type="cellIs" dxfId="388" priority="392" stopIfTrue="1" operator="equal">
      <formula>"N/A"</formula>
    </cfRule>
  </conditionalFormatting>
  <conditionalFormatting sqref="J59">
    <cfRule type="notContainsBlanks" dxfId="387" priority="391" stopIfTrue="1">
      <formula>LEN(TRIM(J59))&gt;0</formula>
    </cfRule>
  </conditionalFormatting>
  <conditionalFormatting sqref="K59">
    <cfRule type="expression" dxfId="386" priority="387" stopIfTrue="1">
      <formula>ISNUMBER(K59)=FALSE</formula>
    </cfRule>
    <cfRule type="cellIs" dxfId="385" priority="388" stopIfTrue="1" operator="greaterThan">
      <formula>1</formula>
    </cfRule>
    <cfRule type="cellIs" dxfId="384" priority="389" stopIfTrue="1" operator="equal">
      <formula>1</formula>
    </cfRule>
    <cfRule type="cellIs" dxfId="383" priority="390" stopIfTrue="1" operator="equal">
      <formula>0</formula>
    </cfRule>
  </conditionalFormatting>
  <conditionalFormatting sqref="K59">
    <cfRule type="cellIs" dxfId="382" priority="386" stopIfTrue="1" operator="equal">
      <formula>"N/A"</formula>
    </cfRule>
  </conditionalFormatting>
  <conditionalFormatting sqref="K59">
    <cfRule type="notContainsBlanks" dxfId="381" priority="385" stopIfTrue="1">
      <formula>LEN(TRIM(K59))&gt;0</formula>
    </cfRule>
  </conditionalFormatting>
  <conditionalFormatting sqref="L59">
    <cfRule type="expression" dxfId="380" priority="381" stopIfTrue="1">
      <formula>ISNUMBER(L59)=FALSE</formula>
    </cfRule>
    <cfRule type="cellIs" dxfId="379" priority="382" stopIfTrue="1" operator="greaterThan">
      <formula>1</formula>
    </cfRule>
    <cfRule type="cellIs" dxfId="378" priority="383" stopIfTrue="1" operator="equal">
      <formula>1</formula>
    </cfRule>
    <cfRule type="cellIs" dxfId="377" priority="384" stopIfTrue="1" operator="equal">
      <formula>0</formula>
    </cfRule>
  </conditionalFormatting>
  <conditionalFormatting sqref="L59">
    <cfRule type="cellIs" dxfId="376" priority="380" stopIfTrue="1" operator="equal">
      <formula>"N/A"</formula>
    </cfRule>
  </conditionalFormatting>
  <conditionalFormatting sqref="L59">
    <cfRule type="notContainsBlanks" dxfId="375" priority="379" stopIfTrue="1">
      <formula>LEN(TRIM(L59))&gt;0</formula>
    </cfRule>
  </conditionalFormatting>
  <conditionalFormatting sqref="M59">
    <cfRule type="expression" dxfId="374" priority="375" stopIfTrue="1">
      <formula>ISNUMBER(M59)=FALSE</formula>
    </cfRule>
    <cfRule type="cellIs" dxfId="373" priority="376" stopIfTrue="1" operator="greaterThan">
      <formula>1</formula>
    </cfRule>
    <cfRule type="cellIs" dxfId="372" priority="377" stopIfTrue="1" operator="equal">
      <formula>1</formula>
    </cfRule>
    <cfRule type="cellIs" dxfId="371" priority="378" stopIfTrue="1" operator="equal">
      <formula>0</formula>
    </cfRule>
  </conditionalFormatting>
  <conditionalFormatting sqref="M59">
    <cfRule type="cellIs" dxfId="370" priority="374" stopIfTrue="1" operator="equal">
      <formula>"N/A"</formula>
    </cfRule>
  </conditionalFormatting>
  <conditionalFormatting sqref="M59">
    <cfRule type="notContainsBlanks" dxfId="369" priority="373" stopIfTrue="1">
      <formula>LEN(TRIM(M59))&gt;0</formula>
    </cfRule>
  </conditionalFormatting>
  <conditionalFormatting sqref="N59">
    <cfRule type="expression" dxfId="368" priority="369" stopIfTrue="1">
      <formula>ISNUMBER(N59)=FALSE</formula>
    </cfRule>
    <cfRule type="cellIs" dxfId="367" priority="370" stopIfTrue="1" operator="greaterThan">
      <formula>1</formula>
    </cfRule>
    <cfRule type="cellIs" dxfId="366" priority="371" stopIfTrue="1" operator="equal">
      <formula>1</formula>
    </cfRule>
    <cfRule type="cellIs" dxfId="365" priority="372" stopIfTrue="1" operator="equal">
      <formula>0</formula>
    </cfRule>
  </conditionalFormatting>
  <conditionalFormatting sqref="N59">
    <cfRule type="cellIs" dxfId="364" priority="368" stopIfTrue="1" operator="equal">
      <formula>"N/A"</formula>
    </cfRule>
  </conditionalFormatting>
  <conditionalFormatting sqref="N59">
    <cfRule type="notContainsBlanks" dxfId="363" priority="367" stopIfTrue="1">
      <formula>LEN(TRIM(N59))&gt;0</formula>
    </cfRule>
  </conditionalFormatting>
  <conditionalFormatting sqref="O59">
    <cfRule type="expression" dxfId="362" priority="363" stopIfTrue="1">
      <formula>ISNUMBER(O59)=FALSE</formula>
    </cfRule>
    <cfRule type="cellIs" dxfId="361" priority="364" stopIfTrue="1" operator="greaterThan">
      <formula>1</formula>
    </cfRule>
    <cfRule type="cellIs" dxfId="360" priority="365" stopIfTrue="1" operator="equal">
      <formula>1</formula>
    </cfRule>
    <cfRule type="cellIs" dxfId="359" priority="366" stopIfTrue="1" operator="equal">
      <formula>0</formula>
    </cfRule>
  </conditionalFormatting>
  <conditionalFormatting sqref="O59">
    <cfRule type="cellIs" dxfId="358" priority="362" stopIfTrue="1" operator="equal">
      <formula>"N/A"</formula>
    </cfRule>
  </conditionalFormatting>
  <conditionalFormatting sqref="O59">
    <cfRule type="notContainsBlanks" dxfId="357" priority="361" stopIfTrue="1">
      <formula>LEN(TRIM(O59))&gt;0</formula>
    </cfRule>
  </conditionalFormatting>
  <conditionalFormatting sqref="P59">
    <cfRule type="expression" dxfId="356" priority="357" stopIfTrue="1">
      <formula>ISNUMBER(P59)=FALSE</formula>
    </cfRule>
    <cfRule type="cellIs" dxfId="355" priority="358" stopIfTrue="1" operator="greaterThan">
      <formula>1</formula>
    </cfRule>
    <cfRule type="cellIs" dxfId="354" priority="359" stopIfTrue="1" operator="equal">
      <formula>1</formula>
    </cfRule>
    <cfRule type="cellIs" dxfId="353" priority="360" stopIfTrue="1" operator="equal">
      <formula>0</formula>
    </cfRule>
  </conditionalFormatting>
  <conditionalFormatting sqref="P59">
    <cfRule type="cellIs" dxfId="352" priority="356" stopIfTrue="1" operator="equal">
      <formula>"N/A"</formula>
    </cfRule>
  </conditionalFormatting>
  <conditionalFormatting sqref="P59">
    <cfRule type="notContainsBlanks" dxfId="351" priority="355" stopIfTrue="1">
      <formula>LEN(TRIM(P59))&gt;0</formula>
    </cfRule>
  </conditionalFormatting>
  <conditionalFormatting sqref="R59">
    <cfRule type="expression" dxfId="350" priority="345" stopIfTrue="1">
      <formula>ISNUMBER(R59)=FALSE</formula>
    </cfRule>
    <cfRule type="cellIs" dxfId="349" priority="346" stopIfTrue="1" operator="greaterThan">
      <formula>1</formula>
    </cfRule>
    <cfRule type="cellIs" dxfId="348" priority="347" stopIfTrue="1" operator="equal">
      <formula>1</formula>
    </cfRule>
    <cfRule type="cellIs" dxfId="347" priority="348" stopIfTrue="1" operator="equal">
      <formula>0</formula>
    </cfRule>
  </conditionalFormatting>
  <conditionalFormatting sqref="R59">
    <cfRule type="cellIs" dxfId="346" priority="344" stopIfTrue="1" operator="equal">
      <formula>"N/A"</formula>
    </cfRule>
  </conditionalFormatting>
  <conditionalFormatting sqref="R59">
    <cfRule type="notContainsBlanks" dxfId="345" priority="343" stopIfTrue="1">
      <formula>LEN(TRIM(R59))&gt;0</formula>
    </cfRule>
  </conditionalFormatting>
  <conditionalFormatting sqref="S59">
    <cfRule type="expression" dxfId="344" priority="339" stopIfTrue="1">
      <formula>ISNUMBER(S59)=FALSE</formula>
    </cfRule>
    <cfRule type="cellIs" dxfId="343" priority="340" stopIfTrue="1" operator="greaterThan">
      <formula>1</formula>
    </cfRule>
    <cfRule type="cellIs" dxfId="342" priority="341" stopIfTrue="1" operator="equal">
      <formula>1</formula>
    </cfRule>
    <cfRule type="cellIs" dxfId="341" priority="342" stopIfTrue="1" operator="equal">
      <formula>0</formula>
    </cfRule>
  </conditionalFormatting>
  <conditionalFormatting sqref="S59">
    <cfRule type="cellIs" dxfId="340" priority="338" stopIfTrue="1" operator="equal">
      <formula>"N/A"</formula>
    </cfRule>
  </conditionalFormatting>
  <conditionalFormatting sqref="S59">
    <cfRule type="notContainsBlanks" dxfId="339" priority="337" stopIfTrue="1">
      <formula>LEN(TRIM(S59))&gt;0</formula>
    </cfRule>
  </conditionalFormatting>
  <conditionalFormatting sqref="T59">
    <cfRule type="expression" dxfId="338" priority="333" stopIfTrue="1">
      <formula>ISNUMBER(T59)=FALSE</formula>
    </cfRule>
    <cfRule type="cellIs" dxfId="337" priority="334" stopIfTrue="1" operator="greaterThan">
      <formula>1</formula>
    </cfRule>
    <cfRule type="cellIs" dxfId="336" priority="335" stopIfTrue="1" operator="equal">
      <formula>1</formula>
    </cfRule>
    <cfRule type="cellIs" dxfId="335" priority="336" stopIfTrue="1" operator="equal">
      <formula>0</formula>
    </cfRule>
  </conditionalFormatting>
  <conditionalFormatting sqref="T59">
    <cfRule type="cellIs" dxfId="334" priority="332" stopIfTrue="1" operator="equal">
      <formula>"N/A"</formula>
    </cfRule>
  </conditionalFormatting>
  <conditionalFormatting sqref="T59">
    <cfRule type="notContainsBlanks" dxfId="333" priority="331" stopIfTrue="1">
      <formula>LEN(TRIM(T59))&gt;0</formula>
    </cfRule>
  </conditionalFormatting>
  <conditionalFormatting sqref="U59">
    <cfRule type="expression" dxfId="332" priority="327" stopIfTrue="1">
      <formula>ISNUMBER(U59)=FALSE</formula>
    </cfRule>
    <cfRule type="cellIs" dxfId="331" priority="328" stopIfTrue="1" operator="greaterThan">
      <formula>1</formula>
    </cfRule>
    <cfRule type="cellIs" dxfId="330" priority="329" stopIfTrue="1" operator="equal">
      <formula>1</formula>
    </cfRule>
    <cfRule type="cellIs" dxfId="329" priority="330" stopIfTrue="1" operator="equal">
      <formula>0</formula>
    </cfRule>
  </conditionalFormatting>
  <conditionalFormatting sqref="U59">
    <cfRule type="cellIs" dxfId="328" priority="326" stopIfTrue="1" operator="equal">
      <formula>"N/A"</formula>
    </cfRule>
  </conditionalFormatting>
  <conditionalFormatting sqref="U59">
    <cfRule type="notContainsBlanks" dxfId="327" priority="325" stopIfTrue="1">
      <formula>LEN(TRIM(U59))&gt;0</formula>
    </cfRule>
  </conditionalFormatting>
  <conditionalFormatting sqref="V59">
    <cfRule type="expression" dxfId="326" priority="321" stopIfTrue="1">
      <formula>ISNUMBER(V59)=FALSE</formula>
    </cfRule>
    <cfRule type="cellIs" dxfId="325" priority="322" stopIfTrue="1" operator="greaterThan">
      <formula>1</formula>
    </cfRule>
    <cfRule type="cellIs" dxfId="324" priority="323" stopIfTrue="1" operator="equal">
      <formula>1</formula>
    </cfRule>
    <cfRule type="cellIs" dxfId="323" priority="324" stopIfTrue="1" operator="equal">
      <formula>0</formula>
    </cfRule>
  </conditionalFormatting>
  <conditionalFormatting sqref="V59">
    <cfRule type="cellIs" dxfId="322" priority="320" stopIfTrue="1" operator="equal">
      <formula>"N/A"</formula>
    </cfRule>
  </conditionalFormatting>
  <conditionalFormatting sqref="V59">
    <cfRule type="notContainsBlanks" dxfId="321" priority="319" stopIfTrue="1">
      <formula>LEN(TRIM(V59))&gt;0</formula>
    </cfRule>
  </conditionalFormatting>
  <conditionalFormatting sqref="W59">
    <cfRule type="expression" dxfId="320" priority="315" stopIfTrue="1">
      <formula>ISNUMBER(W59)=FALSE</formula>
    </cfRule>
    <cfRule type="cellIs" dxfId="319" priority="316" stopIfTrue="1" operator="greaterThan">
      <formula>1</formula>
    </cfRule>
    <cfRule type="cellIs" dxfId="318" priority="317" stopIfTrue="1" operator="equal">
      <formula>1</formula>
    </cfRule>
    <cfRule type="cellIs" dxfId="317" priority="318" stopIfTrue="1" operator="equal">
      <formula>0</formula>
    </cfRule>
  </conditionalFormatting>
  <conditionalFormatting sqref="W59">
    <cfRule type="cellIs" dxfId="316" priority="314" stopIfTrue="1" operator="equal">
      <formula>"N/A"</formula>
    </cfRule>
  </conditionalFormatting>
  <conditionalFormatting sqref="W59">
    <cfRule type="notContainsBlanks" dxfId="315" priority="313" stopIfTrue="1">
      <formula>LEN(TRIM(W59))&gt;0</formula>
    </cfRule>
  </conditionalFormatting>
  <conditionalFormatting sqref="X59">
    <cfRule type="expression" dxfId="314" priority="309" stopIfTrue="1">
      <formula>ISNUMBER(X59)=FALSE</formula>
    </cfRule>
    <cfRule type="cellIs" dxfId="313" priority="310" stopIfTrue="1" operator="greaterThan">
      <formula>1</formula>
    </cfRule>
    <cfRule type="cellIs" dxfId="312" priority="311" stopIfTrue="1" operator="equal">
      <formula>1</formula>
    </cfRule>
    <cfRule type="cellIs" dxfId="311" priority="312" stopIfTrue="1" operator="equal">
      <formula>0</formula>
    </cfRule>
  </conditionalFormatting>
  <conditionalFormatting sqref="X59">
    <cfRule type="cellIs" dxfId="310" priority="308" stopIfTrue="1" operator="equal">
      <formula>"N/A"</formula>
    </cfRule>
  </conditionalFormatting>
  <conditionalFormatting sqref="X59">
    <cfRule type="notContainsBlanks" dxfId="309" priority="307" stopIfTrue="1">
      <formula>LEN(TRIM(X59))&gt;0</formula>
    </cfRule>
  </conditionalFormatting>
  <conditionalFormatting sqref="H60">
    <cfRule type="expression" dxfId="308" priority="303" stopIfTrue="1">
      <formula>ISNUMBER(H60)=FALSE</formula>
    </cfRule>
    <cfRule type="cellIs" dxfId="307" priority="304" stopIfTrue="1" operator="greaterThan">
      <formula>20</formula>
    </cfRule>
    <cfRule type="cellIs" dxfId="306" priority="305" stopIfTrue="1" operator="between">
      <formula>10</formula>
      <formula>20</formula>
    </cfRule>
    <cfRule type="cellIs" dxfId="305" priority="306" stopIfTrue="1" operator="lessThan">
      <formula>10</formula>
    </cfRule>
  </conditionalFormatting>
  <conditionalFormatting sqref="H60">
    <cfRule type="cellIs" dxfId="304" priority="302" stopIfTrue="1" operator="equal">
      <formula>"N/A"</formula>
    </cfRule>
  </conditionalFormatting>
  <conditionalFormatting sqref="H60">
    <cfRule type="notContainsBlanks" dxfId="303" priority="301" stopIfTrue="1">
      <formula>LEN(TRIM(H60))&gt;0</formula>
    </cfRule>
  </conditionalFormatting>
  <conditionalFormatting sqref="I60">
    <cfRule type="expression" dxfId="302" priority="297" stopIfTrue="1">
      <formula>ISNUMBER(I60)=FALSE</formula>
    </cfRule>
    <cfRule type="cellIs" dxfId="301" priority="298" stopIfTrue="1" operator="greaterThan">
      <formula>20</formula>
    </cfRule>
    <cfRule type="cellIs" dxfId="300" priority="299" stopIfTrue="1" operator="between">
      <formula>10</formula>
      <formula>20</formula>
    </cfRule>
    <cfRule type="cellIs" dxfId="299" priority="300" stopIfTrue="1" operator="lessThan">
      <formula>10</formula>
    </cfRule>
  </conditionalFormatting>
  <conditionalFormatting sqref="I60">
    <cfRule type="cellIs" dxfId="298" priority="296" stopIfTrue="1" operator="equal">
      <formula>"N/A"</formula>
    </cfRule>
  </conditionalFormatting>
  <conditionalFormatting sqref="I60">
    <cfRule type="notContainsBlanks" dxfId="297" priority="295" stopIfTrue="1">
      <formula>LEN(TRIM(I60))&gt;0</formula>
    </cfRule>
  </conditionalFormatting>
  <conditionalFormatting sqref="J60">
    <cfRule type="expression" dxfId="296" priority="291" stopIfTrue="1">
      <formula>ISNUMBER(J60)=FALSE</formula>
    </cfRule>
    <cfRule type="cellIs" dxfId="295" priority="292" stopIfTrue="1" operator="greaterThan">
      <formula>20</formula>
    </cfRule>
    <cfRule type="cellIs" dxfId="294" priority="293" stopIfTrue="1" operator="between">
      <formula>10</formula>
      <formula>20</formula>
    </cfRule>
    <cfRule type="cellIs" dxfId="293" priority="294" stopIfTrue="1" operator="lessThan">
      <formula>10</formula>
    </cfRule>
  </conditionalFormatting>
  <conditionalFormatting sqref="J60">
    <cfRule type="cellIs" dxfId="292" priority="290" stopIfTrue="1" operator="equal">
      <formula>"N/A"</formula>
    </cfRule>
  </conditionalFormatting>
  <conditionalFormatting sqref="J60">
    <cfRule type="notContainsBlanks" dxfId="291" priority="289" stopIfTrue="1">
      <formula>LEN(TRIM(J60))&gt;0</formula>
    </cfRule>
  </conditionalFormatting>
  <conditionalFormatting sqref="K60">
    <cfRule type="expression" dxfId="290" priority="285" stopIfTrue="1">
      <formula>ISNUMBER(K60)=FALSE</formula>
    </cfRule>
    <cfRule type="cellIs" dxfId="289" priority="286" stopIfTrue="1" operator="greaterThan">
      <formula>20</formula>
    </cfRule>
    <cfRule type="cellIs" dxfId="288" priority="287" stopIfTrue="1" operator="between">
      <formula>10</formula>
      <formula>20</formula>
    </cfRule>
    <cfRule type="cellIs" dxfId="287" priority="288" stopIfTrue="1" operator="lessThan">
      <formula>10</formula>
    </cfRule>
  </conditionalFormatting>
  <conditionalFormatting sqref="K60">
    <cfRule type="cellIs" dxfId="286" priority="284" stopIfTrue="1" operator="equal">
      <formula>"N/A"</formula>
    </cfRule>
  </conditionalFormatting>
  <conditionalFormatting sqref="K60">
    <cfRule type="notContainsBlanks" dxfId="285" priority="283" stopIfTrue="1">
      <formula>LEN(TRIM(K60))&gt;0</formula>
    </cfRule>
  </conditionalFormatting>
  <conditionalFormatting sqref="L60">
    <cfRule type="expression" dxfId="284" priority="279" stopIfTrue="1">
      <formula>ISNUMBER(L60)=FALSE</formula>
    </cfRule>
    <cfRule type="cellIs" dxfId="283" priority="280" stopIfTrue="1" operator="greaterThan">
      <formula>20</formula>
    </cfRule>
    <cfRule type="cellIs" dxfId="282" priority="281" stopIfTrue="1" operator="between">
      <formula>10</formula>
      <formula>20</formula>
    </cfRule>
    <cfRule type="cellIs" dxfId="281" priority="282" stopIfTrue="1" operator="lessThan">
      <formula>10</formula>
    </cfRule>
  </conditionalFormatting>
  <conditionalFormatting sqref="L60">
    <cfRule type="cellIs" dxfId="280" priority="278" stopIfTrue="1" operator="equal">
      <formula>"N/A"</formula>
    </cfRule>
  </conditionalFormatting>
  <conditionalFormatting sqref="L60">
    <cfRule type="notContainsBlanks" dxfId="279" priority="277" stopIfTrue="1">
      <formula>LEN(TRIM(L60))&gt;0</formula>
    </cfRule>
  </conditionalFormatting>
  <conditionalFormatting sqref="M60">
    <cfRule type="expression" dxfId="278" priority="273" stopIfTrue="1">
      <formula>ISNUMBER(M60)=FALSE</formula>
    </cfRule>
    <cfRule type="cellIs" dxfId="277" priority="274" stopIfTrue="1" operator="greaterThan">
      <formula>20</formula>
    </cfRule>
    <cfRule type="cellIs" dxfId="276" priority="275" stopIfTrue="1" operator="between">
      <formula>10</formula>
      <formula>20</formula>
    </cfRule>
    <cfRule type="cellIs" dxfId="275" priority="276" stopIfTrue="1" operator="lessThan">
      <formula>10</formula>
    </cfRule>
  </conditionalFormatting>
  <conditionalFormatting sqref="M60">
    <cfRule type="cellIs" dxfId="274" priority="272" stopIfTrue="1" operator="equal">
      <formula>"N/A"</formula>
    </cfRule>
  </conditionalFormatting>
  <conditionalFormatting sqref="M60">
    <cfRule type="notContainsBlanks" dxfId="273" priority="271" stopIfTrue="1">
      <formula>LEN(TRIM(M60))&gt;0</formula>
    </cfRule>
  </conditionalFormatting>
  <conditionalFormatting sqref="N60">
    <cfRule type="expression" dxfId="272" priority="267" stopIfTrue="1">
      <formula>ISNUMBER(N60)=FALSE</formula>
    </cfRule>
    <cfRule type="cellIs" dxfId="271" priority="268" stopIfTrue="1" operator="greaterThan">
      <formula>20</formula>
    </cfRule>
    <cfRule type="cellIs" dxfId="270" priority="269" stopIfTrue="1" operator="between">
      <formula>10</formula>
      <formula>20</formula>
    </cfRule>
    <cfRule type="cellIs" dxfId="269" priority="270" stopIfTrue="1" operator="lessThan">
      <formula>10</formula>
    </cfRule>
  </conditionalFormatting>
  <conditionalFormatting sqref="N60">
    <cfRule type="cellIs" dxfId="268" priority="266" stopIfTrue="1" operator="equal">
      <formula>"N/A"</formula>
    </cfRule>
  </conditionalFormatting>
  <conditionalFormatting sqref="N60">
    <cfRule type="notContainsBlanks" dxfId="267" priority="265" stopIfTrue="1">
      <formula>LEN(TRIM(N60))&gt;0</formula>
    </cfRule>
  </conditionalFormatting>
  <conditionalFormatting sqref="O60">
    <cfRule type="expression" dxfId="266" priority="261" stopIfTrue="1">
      <formula>ISNUMBER(O60)=FALSE</formula>
    </cfRule>
    <cfRule type="cellIs" dxfId="265" priority="262" stopIfTrue="1" operator="greaterThan">
      <formula>20</formula>
    </cfRule>
    <cfRule type="cellIs" dxfId="264" priority="263" stopIfTrue="1" operator="between">
      <formula>10</formula>
      <formula>20</formula>
    </cfRule>
    <cfRule type="cellIs" dxfId="263" priority="264" stopIfTrue="1" operator="lessThan">
      <formula>10</formula>
    </cfRule>
  </conditionalFormatting>
  <conditionalFormatting sqref="O60">
    <cfRule type="cellIs" dxfId="262" priority="260" stopIfTrue="1" operator="equal">
      <formula>"N/A"</formula>
    </cfRule>
  </conditionalFormatting>
  <conditionalFormatting sqref="O60">
    <cfRule type="notContainsBlanks" dxfId="261" priority="259" stopIfTrue="1">
      <formula>LEN(TRIM(O60))&gt;0</formula>
    </cfRule>
  </conditionalFormatting>
  <conditionalFormatting sqref="P60">
    <cfRule type="expression" dxfId="260" priority="255" stopIfTrue="1">
      <formula>ISNUMBER(P60)=FALSE</formula>
    </cfRule>
    <cfRule type="cellIs" dxfId="259" priority="256" stopIfTrue="1" operator="greaterThan">
      <formula>20</formula>
    </cfRule>
    <cfRule type="cellIs" dxfId="258" priority="257" stopIfTrue="1" operator="between">
      <formula>10</formula>
      <formula>20</formula>
    </cfRule>
    <cfRule type="cellIs" dxfId="257" priority="258" stopIfTrue="1" operator="lessThan">
      <formula>10</formula>
    </cfRule>
  </conditionalFormatting>
  <conditionalFormatting sqref="P60">
    <cfRule type="cellIs" dxfId="256" priority="254" stopIfTrue="1" operator="equal">
      <formula>"N/A"</formula>
    </cfRule>
  </conditionalFormatting>
  <conditionalFormatting sqref="P60">
    <cfRule type="notContainsBlanks" dxfId="255" priority="253" stopIfTrue="1">
      <formula>LEN(TRIM(P60))&gt;0</formula>
    </cfRule>
  </conditionalFormatting>
  <conditionalFormatting sqref="R60">
    <cfRule type="expression" dxfId="254" priority="243" stopIfTrue="1">
      <formula>ISNUMBER(R60)=FALSE</formula>
    </cfRule>
    <cfRule type="cellIs" dxfId="253" priority="244" stopIfTrue="1" operator="greaterThan">
      <formula>20</formula>
    </cfRule>
    <cfRule type="cellIs" dxfId="252" priority="245" stopIfTrue="1" operator="between">
      <formula>10</formula>
      <formula>20</formula>
    </cfRule>
    <cfRule type="cellIs" dxfId="251" priority="246" stopIfTrue="1" operator="lessThan">
      <formula>10</formula>
    </cfRule>
  </conditionalFormatting>
  <conditionalFormatting sqref="R60">
    <cfRule type="cellIs" dxfId="250" priority="242" stopIfTrue="1" operator="equal">
      <formula>"N/A"</formula>
    </cfRule>
  </conditionalFormatting>
  <conditionalFormatting sqref="R60">
    <cfRule type="notContainsBlanks" dxfId="249" priority="241" stopIfTrue="1">
      <formula>LEN(TRIM(R60))&gt;0</formula>
    </cfRule>
  </conditionalFormatting>
  <conditionalFormatting sqref="S60">
    <cfRule type="expression" dxfId="248" priority="237" stopIfTrue="1">
      <formula>ISNUMBER(S60)=FALSE</formula>
    </cfRule>
    <cfRule type="cellIs" dxfId="247" priority="238" stopIfTrue="1" operator="greaterThan">
      <formula>20</formula>
    </cfRule>
    <cfRule type="cellIs" dxfId="246" priority="239" stopIfTrue="1" operator="between">
      <formula>10</formula>
      <formula>20</formula>
    </cfRule>
    <cfRule type="cellIs" dxfId="245" priority="240" stopIfTrue="1" operator="lessThan">
      <formula>10</formula>
    </cfRule>
  </conditionalFormatting>
  <conditionalFormatting sqref="S60">
    <cfRule type="cellIs" dxfId="244" priority="236" stopIfTrue="1" operator="equal">
      <formula>"N/A"</formula>
    </cfRule>
  </conditionalFormatting>
  <conditionalFormatting sqref="S60">
    <cfRule type="notContainsBlanks" dxfId="243" priority="235" stopIfTrue="1">
      <formula>LEN(TRIM(S60))&gt;0</formula>
    </cfRule>
  </conditionalFormatting>
  <conditionalFormatting sqref="T60">
    <cfRule type="expression" dxfId="242" priority="231" stopIfTrue="1">
      <formula>ISNUMBER(T60)=FALSE</formula>
    </cfRule>
    <cfRule type="cellIs" dxfId="241" priority="232" stopIfTrue="1" operator="greaterThan">
      <formula>20</formula>
    </cfRule>
    <cfRule type="cellIs" dxfId="240" priority="233" stopIfTrue="1" operator="between">
      <formula>10</formula>
      <formula>20</formula>
    </cfRule>
    <cfRule type="cellIs" dxfId="239" priority="234" stopIfTrue="1" operator="lessThan">
      <formula>10</formula>
    </cfRule>
  </conditionalFormatting>
  <conditionalFormatting sqref="T60">
    <cfRule type="cellIs" dxfId="238" priority="230" stopIfTrue="1" operator="equal">
      <formula>"N/A"</formula>
    </cfRule>
  </conditionalFormatting>
  <conditionalFormatting sqref="T60">
    <cfRule type="notContainsBlanks" dxfId="237" priority="229" stopIfTrue="1">
      <formula>LEN(TRIM(T60))&gt;0</formula>
    </cfRule>
  </conditionalFormatting>
  <conditionalFormatting sqref="U60">
    <cfRule type="expression" dxfId="236" priority="225" stopIfTrue="1">
      <formula>ISNUMBER(U60)=FALSE</formula>
    </cfRule>
    <cfRule type="cellIs" dxfId="235" priority="226" stopIfTrue="1" operator="greaterThan">
      <formula>20</formula>
    </cfRule>
    <cfRule type="cellIs" dxfId="234" priority="227" stopIfTrue="1" operator="between">
      <formula>10</formula>
      <formula>20</formula>
    </cfRule>
    <cfRule type="cellIs" dxfId="233" priority="228" stopIfTrue="1" operator="lessThan">
      <formula>10</formula>
    </cfRule>
  </conditionalFormatting>
  <conditionalFormatting sqref="U60">
    <cfRule type="cellIs" dxfId="232" priority="224" stopIfTrue="1" operator="equal">
      <formula>"N/A"</formula>
    </cfRule>
  </conditionalFormatting>
  <conditionalFormatting sqref="U60">
    <cfRule type="notContainsBlanks" dxfId="231" priority="223" stopIfTrue="1">
      <formula>LEN(TRIM(U60))&gt;0</formula>
    </cfRule>
  </conditionalFormatting>
  <conditionalFormatting sqref="V60">
    <cfRule type="expression" dxfId="230" priority="219" stopIfTrue="1">
      <formula>ISNUMBER(V60)=FALSE</formula>
    </cfRule>
    <cfRule type="cellIs" dxfId="229" priority="220" stopIfTrue="1" operator="greaterThan">
      <formula>20</formula>
    </cfRule>
    <cfRule type="cellIs" dxfId="228" priority="221" stopIfTrue="1" operator="between">
      <formula>10</formula>
      <formula>20</formula>
    </cfRule>
    <cfRule type="cellIs" dxfId="227" priority="222" stopIfTrue="1" operator="lessThan">
      <formula>10</formula>
    </cfRule>
  </conditionalFormatting>
  <conditionalFormatting sqref="V60">
    <cfRule type="cellIs" dxfId="226" priority="218" stopIfTrue="1" operator="equal">
      <formula>"N/A"</formula>
    </cfRule>
  </conditionalFormatting>
  <conditionalFormatting sqref="V60">
    <cfRule type="notContainsBlanks" dxfId="225" priority="217" stopIfTrue="1">
      <formula>LEN(TRIM(V60))&gt;0</formula>
    </cfRule>
  </conditionalFormatting>
  <conditionalFormatting sqref="W60">
    <cfRule type="expression" dxfId="224" priority="213" stopIfTrue="1">
      <formula>ISNUMBER(W60)=FALSE</formula>
    </cfRule>
    <cfRule type="cellIs" dxfId="223" priority="214" stopIfTrue="1" operator="greaterThan">
      <formula>20</formula>
    </cfRule>
    <cfRule type="cellIs" dxfId="222" priority="215" stopIfTrue="1" operator="between">
      <formula>10</formula>
      <formula>20</formula>
    </cfRule>
    <cfRule type="cellIs" dxfId="221" priority="216" stopIfTrue="1" operator="lessThan">
      <formula>10</formula>
    </cfRule>
  </conditionalFormatting>
  <conditionalFormatting sqref="W60">
    <cfRule type="cellIs" dxfId="220" priority="212" stopIfTrue="1" operator="equal">
      <formula>"N/A"</formula>
    </cfRule>
  </conditionalFormatting>
  <conditionalFormatting sqref="W60">
    <cfRule type="notContainsBlanks" dxfId="219" priority="211" stopIfTrue="1">
      <formula>LEN(TRIM(W60))&gt;0</formula>
    </cfRule>
  </conditionalFormatting>
  <conditionalFormatting sqref="X60">
    <cfRule type="expression" dxfId="218" priority="207" stopIfTrue="1">
      <formula>ISNUMBER(X60)=FALSE</formula>
    </cfRule>
    <cfRule type="cellIs" dxfId="217" priority="208" stopIfTrue="1" operator="greaterThan">
      <formula>20</formula>
    </cfRule>
    <cfRule type="cellIs" dxfId="216" priority="209" stopIfTrue="1" operator="between">
      <formula>10</formula>
      <formula>20</formula>
    </cfRule>
    <cfRule type="cellIs" dxfId="215" priority="210" stopIfTrue="1" operator="lessThan">
      <formula>10</formula>
    </cfRule>
  </conditionalFormatting>
  <conditionalFormatting sqref="X60">
    <cfRule type="cellIs" dxfId="214" priority="206" stopIfTrue="1" operator="equal">
      <formula>"N/A"</formula>
    </cfRule>
  </conditionalFormatting>
  <conditionalFormatting sqref="X60">
    <cfRule type="notContainsBlanks" dxfId="213" priority="205" stopIfTrue="1">
      <formula>LEN(TRIM(X60))&gt;0</formula>
    </cfRule>
  </conditionalFormatting>
  <conditionalFormatting sqref="H61">
    <cfRule type="expression" dxfId="212" priority="201" stopIfTrue="1">
      <formula>ISNUMBER(H61)=FALSE</formula>
    </cfRule>
    <cfRule type="cellIs" dxfId="211" priority="202" stopIfTrue="1" operator="greaterThan">
      <formula>5</formula>
    </cfRule>
    <cfRule type="cellIs" dxfId="210" priority="203" stopIfTrue="1" operator="between">
      <formula>2</formula>
      <formula>5</formula>
    </cfRule>
    <cfRule type="cellIs" dxfId="209" priority="204" stopIfTrue="1" operator="lessThanOrEqual">
      <formula>2</formula>
    </cfRule>
  </conditionalFormatting>
  <conditionalFormatting sqref="H61">
    <cfRule type="cellIs" dxfId="208" priority="200" stopIfTrue="1" operator="equal">
      <formula>"N/A"</formula>
    </cfRule>
  </conditionalFormatting>
  <conditionalFormatting sqref="H61">
    <cfRule type="notContainsBlanks" dxfId="207" priority="199" stopIfTrue="1">
      <formula>LEN(TRIM(H61))&gt;0</formula>
    </cfRule>
  </conditionalFormatting>
  <conditionalFormatting sqref="I61">
    <cfRule type="expression" dxfId="206" priority="195" stopIfTrue="1">
      <formula>ISNUMBER(I61)=FALSE</formula>
    </cfRule>
    <cfRule type="cellIs" dxfId="205" priority="196" stopIfTrue="1" operator="greaterThan">
      <formula>5</formula>
    </cfRule>
    <cfRule type="cellIs" dxfId="204" priority="197" stopIfTrue="1" operator="between">
      <formula>2</formula>
      <formula>5</formula>
    </cfRule>
    <cfRule type="cellIs" dxfId="203" priority="198" stopIfTrue="1" operator="lessThanOrEqual">
      <formula>2</formula>
    </cfRule>
  </conditionalFormatting>
  <conditionalFormatting sqref="I61">
    <cfRule type="cellIs" dxfId="202" priority="194" stopIfTrue="1" operator="equal">
      <formula>"N/A"</formula>
    </cfRule>
  </conditionalFormatting>
  <conditionalFormatting sqref="I61">
    <cfRule type="notContainsBlanks" dxfId="201" priority="193" stopIfTrue="1">
      <formula>LEN(TRIM(I61))&gt;0</formula>
    </cfRule>
  </conditionalFormatting>
  <conditionalFormatting sqref="J61">
    <cfRule type="expression" dxfId="200" priority="189" stopIfTrue="1">
      <formula>ISNUMBER(J61)=FALSE</formula>
    </cfRule>
    <cfRule type="cellIs" dxfId="199" priority="190" stopIfTrue="1" operator="greaterThan">
      <formula>5</formula>
    </cfRule>
    <cfRule type="cellIs" dxfId="198" priority="191" stopIfTrue="1" operator="between">
      <formula>2</formula>
      <formula>5</formula>
    </cfRule>
    <cfRule type="cellIs" dxfId="197" priority="192" stopIfTrue="1" operator="lessThanOrEqual">
      <formula>2</formula>
    </cfRule>
  </conditionalFormatting>
  <conditionalFormatting sqref="J61">
    <cfRule type="cellIs" dxfId="196" priority="188" stopIfTrue="1" operator="equal">
      <formula>"N/A"</formula>
    </cfRule>
  </conditionalFormatting>
  <conditionalFormatting sqref="J61">
    <cfRule type="notContainsBlanks" dxfId="195" priority="187" stopIfTrue="1">
      <formula>LEN(TRIM(J61))&gt;0</formula>
    </cfRule>
  </conditionalFormatting>
  <conditionalFormatting sqref="K61">
    <cfRule type="expression" dxfId="194" priority="183" stopIfTrue="1">
      <formula>ISNUMBER(K61)=FALSE</formula>
    </cfRule>
    <cfRule type="cellIs" dxfId="193" priority="184" stopIfTrue="1" operator="greaterThan">
      <formula>5</formula>
    </cfRule>
    <cfRule type="cellIs" dxfId="192" priority="185" stopIfTrue="1" operator="between">
      <formula>2</formula>
      <formula>5</formula>
    </cfRule>
    <cfRule type="cellIs" dxfId="191" priority="186" stopIfTrue="1" operator="lessThanOrEqual">
      <formula>2</formula>
    </cfRule>
  </conditionalFormatting>
  <conditionalFormatting sqref="K61">
    <cfRule type="cellIs" dxfId="190" priority="182" stopIfTrue="1" operator="equal">
      <formula>"N/A"</formula>
    </cfRule>
  </conditionalFormatting>
  <conditionalFormatting sqref="K61">
    <cfRule type="notContainsBlanks" dxfId="189" priority="181" stopIfTrue="1">
      <formula>LEN(TRIM(K61))&gt;0</formula>
    </cfRule>
  </conditionalFormatting>
  <conditionalFormatting sqref="L61">
    <cfRule type="expression" dxfId="188" priority="177" stopIfTrue="1">
      <formula>ISNUMBER(L61)=FALSE</formula>
    </cfRule>
    <cfRule type="cellIs" dxfId="187" priority="178" stopIfTrue="1" operator="greaterThan">
      <formula>5</formula>
    </cfRule>
    <cfRule type="cellIs" dxfId="186" priority="179" stopIfTrue="1" operator="between">
      <formula>2</formula>
      <formula>5</formula>
    </cfRule>
    <cfRule type="cellIs" dxfId="185" priority="180" stopIfTrue="1" operator="lessThanOrEqual">
      <formula>2</formula>
    </cfRule>
  </conditionalFormatting>
  <conditionalFormatting sqref="L61">
    <cfRule type="cellIs" dxfId="184" priority="176" stopIfTrue="1" operator="equal">
      <formula>"N/A"</formula>
    </cfRule>
  </conditionalFormatting>
  <conditionalFormatting sqref="L61">
    <cfRule type="notContainsBlanks" dxfId="183" priority="175" stopIfTrue="1">
      <formula>LEN(TRIM(L61))&gt;0</formula>
    </cfRule>
  </conditionalFormatting>
  <conditionalFormatting sqref="M61">
    <cfRule type="expression" dxfId="182" priority="171" stopIfTrue="1">
      <formula>ISNUMBER(M61)=FALSE</formula>
    </cfRule>
    <cfRule type="cellIs" dxfId="181" priority="172" stopIfTrue="1" operator="greaterThan">
      <formula>5</formula>
    </cfRule>
    <cfRule type="cellIs" dxfId="180" priority="173" stopIfTrue="1" operator="between">
      <formula>2</formula>
      <formula>5</formula>
    </cfRule>
    <cfRule type="cellIs" dxfId="179" priority="174" stopIfTrue="1" operator="lessThanOrEqual">
      <formula>2</formula>
    </cfRule>
  </conditionalFormatting>
  <conditionalFormatting sqref="M61">
    <cfRule type="cellIs" dxfId="178" priority="170" stopIfTrue="1" operator="equal">
      <formula>"N/A"</formula>
    </cfRule>
  </conditionalFormatting>
  <conditionalFormatting sqref="M61">
    <cfRule type="notContainsBlanks" dxfId="177" priority="169" stopIfTrue="1">
      <formula>LEN(TRIM(M61))&gt;0</formula>
    </cfRule>
  </conditionalFormatting>
  <conditionalFormatting sqref="N61">
    <cfRule type="expression" dxfId="176" priority="165" stopIfTrue="1">
      <formula>ISNUMBER(N61)=FALSE</formula>
    </cfRule>
    <cfRule type="cellIs" dxfId="175" priority="166" stopIfTrue="1" operator="greaterThan">
      <formula>5</formula>
    </cfRule>
    <cfRule type="cellIs" dxfId="174" priority="167" stopIfTrue="1" operator="between">
      <formula>2</formula>
      <formula>5</formula>
    </cfRule>
    <cfRule type="cellIs" dxfId="173" priority="168" stopIfTrue="1" operator="lessThanOrEqual">
      <formula>2</formula>
    </cfRule>
  </conditionalFormatting>
  <conditionalFormatting sqref="N61">
    <cfRule type="cellIs" dxfId="172" priority="164" stopIfTrue="1" operator="equal">
      <formula>"N/A"</formula>
    </cfRule>
  </conditionalFormatting>
  <conditionalFormatting sqref="N61">
    <cfRule type="notContainsBlanks" dxfId="171" priority="163" stopIfTrue="1">
      <formula>LEN(TRIM(N61))&gt;0</formula>
    </cfRule>
  </conditionalFormatting>
  <conditionalFormatting sqref="O61">
    <cfRule type="expression" dxfId="170" priority="159" stopIfTrue="1">
      <formula>ISNUMBER(O61)=FALSE</formula>
    </cfRule>
    <cfRule type="cellIs" dxfId="169" priority="160" stopIfTrue="1" operator="greaterThan">
      <formula>5</formula>
    </cfRule>
    <cfRule type="cellIs" dxfId="168" priority="161" stopIfTrue="1" operator="between">
      <formula>2</formula>
      <formula>5</formula>
    </cfRule>
    <cfRule type="cellIs" dxfId="167" priority="162" stopIfTrue="1" operator="lessThanOrEqual">
      <formula>2</formula>
    </cfRule>
  </conditionalFormatting>
  <conditionalFormatting sqref="O61">
    <cfRule type="cellIs" dxfId="166" priority="158" stopIfTrue="1" operator="equal">
      <formula>"N/A"</formula>
    </cfRule>
  </conditionalFormatting>
  <conditionalFormatting sqref="O61">
    <cfRule type="notContainsBlanks" dxfId="165" priority="157" stopIfTrue="1">
      <formula>LEN(TRIM(O61))&gt;0</formula>
    </cfRule>
  </conditionalFormatting>
  <conditionalFormatting sqref="P61">
    <cfRule type="expression" dxfId="164" priority="153" stopIfTrue="1">
      <formula>ISNUMBER(P61)=FALSE</formula>
    </cfRule>
    <cfRule type="cellIs" dxfId="163" priority="154" stopIfTrue="1" operator="greaterThan">
      <formula>5</formula>
    </cfRule>
    <cfRule type="cellIs" dxfId="162" priority="155" stopIfTrue="1" operator="between">
      <formula>2</formula>
      <formula>5</formula>
    </cfRule>
    <cfRule type="cellIs" dxfId="161" priority="156" stopIfTrue="1" operator="lessThanOrEqual">
      <formula>2</formula>
    </cfRule>
  </conditionalFormatting>
  <conditionalFormatting sqref="P61">
    <cfRule type="cellIs" dxfId="160" priority="152" stopIfTrue="1" operator="equal">
      <formula>"N/A"</formula>
    </cfRule>
  </conditionalFormatting>
  <conditionalFormatting sqref="P61">
    <cfRule type="notContainsBlanks" dxfId="159" priority="151" stopIfTrue="1">
      <formula>LEN(TRIM(P61))&gt;0</formula>
    </cfRule>
  </conditionalFormatting>
  <conditionalFormatting sqref="R61">
    <cfRule type="expression" dxfId="158" priority="141" stopIfTrue="1">
      <formula>ISNUMBER(R61)=FALSE</formula>
    </cfRule>
    <cfRule type="cellIs" dxfId="157" priority="142" stopIfTrue="1" operator="greaterThan">
      <formula>5</formula>
    </cfRule>
    <cfRule type="cellIs" dxfId="156" priority="143" stopIfTrue="1" operator="between">
      <formula>2</formula>
      <formula>5</formula>
    </cfRule>
    <cfRule type="cellIs" dxfId="155" priority="144" stopIfTrue="1" operator="lessThanOrEqual">
      <formula>2</formula>
    </cfRule>
  </conditionalFormatting>
  <conditionalFormatting sqref="R61">
    <cfRule type="cellIs" dxfId="154" priority="140" stopIfTrue="1" operator="equal">
      <formula>"N/A"</formula>
    </cfRule>
  </conditionalFormatting>
  <conditionalFormatting sqref="R61">
    <cfRule type="notContainsBlanks" dxfId="153" priority="139" stopIfTrue="1">
      <formula>LEN(TRIM(R61))&gt;0</formula>
    </cfRule>
  </conditionalFormatting>
  <conditionalFormatting sqref="S61">
    <cfRule type="expression" dxfId="152" priority="135" stopIfTrue="1">
      <formula>ISNUMBER(S61)=FALSE</formula>
    </cfRule>
    <cfRule type="cellIs" dxfId="151" priority="136" stopIfTrue="1" operator="greaterThan">
      <formula>5</formula>
    </cfRule>
    <cfRule type="cellIs" dxfId="150" priority="137" stopIfTrue="1" operator="between">
      <formula>2</formula>
      <formula>5</formula>
    </cfRule>
    <cfRule type="cellIs" dxfId="149" priority="138" stopIfTrue="1" operator="lessThanOrEqual">
      <formula>2</formula>
    </cfRule>
  </conditionalFormatting>
  <conditionalFormatting sqref="S61">
    <cfRule type="cellIs" dxfId="148" priority="134" stopIfTrue="1" operator="equal">
      <formula>"N/A"</formula>
    </cfRule>
  </conditionalFormatting>
  <conditionalFormatting sqref="S61">
    <cfRule type="notContainsBlanks" dxfId="147" priority="133" stopIfTrue="1">
      <formula>LEN(TRIM(S61))&gt;0</formula>
    </cfRule>
  </conditionalFormatting>
  <conditionalFormatting sqref="T61">
    <cfRule type="expression" dxfId="146" priority="129" stopIfTrue="1">
      <formula>ISNUMBER(T61)=FALSE</formula>
    </cfRule>
    <cfRule type="cellIs" dxfId="145" priority="130" stopIfTrue="1" operator="greaterThan">
      <formula>5</formula>
    </cfRule>
    <cfRule type="cellIs" dxfId="144" priority="131" stopIfTrue="1" operator="between">
      <formula>2</formula>
      <formula>5</formula>
    </cfRule>
    <cfRule type="cellIs" dxfId="143" priority="132" stopIfTrue="1" operator="lessThanOrEqual">
      <formula>2</formula>
    </cfRule>
  </conditionalFormatting>
  <conditionalFormatting sqref="T61">
    <cfRule type="cellIs" dxfId="142" priority="128" stopIfTrue="1" operator="equal">
      <formula>"N/A"</formula>
    </cfRule>
  </conditionalFormatting>
  <conditionalFormatting sqref="T61">
    <cfRule type="notContainsBlanks" dxfId="141" priority="127" stopIfTrue="1">
      <formula>LEN(TRIM(T61))&gt;0</formula>
    </cfRule>
  </conditionalFormatting>
  <conditionalFormatting sqref="U61">
    <cfRule type="expression" dxfId="140" priority="123" stopIfTrue="1">
      <formula>ISNUMBER(U61)=FALSE</formula>
    </cfRule>
    <cfRule type="cellIs" dxfId="139" priority="124" stopIfTrue="1" operator="greaterThan">
      <formula>5</formula>
    </cfRule>
    <cfRule type="cellIs" dxfId="138" priority="125" stopIfTrue="1" operator="between">
      <formula>2</formula>
      <formula>5</formula>
    </cfRule>
    <cfRule type="cellIs" dxfId="137" priority="126" stopIfTrue="1" operator="lessThanOrEqual">
      <formula>2</formula>
    </cfRule>
  </conditionalFormatting>
  <conditionalFormatting sqref="U61">
    <cfRule type="cellIs" dxfId="136" priority="122" stopIfTrue="1" operator="equal">
      <formula>"N/A"</formula>
    </cfRule>
  </conditionalFormatting>
  <conditionalFormatting sqref="U61">
    <cfRule type="notContainsBlanks" dxfId="135" priority="121" stopIfTrue="1">
      <formula>LEN(TRIM(U61))&gt;0</formula>
    </cfRule>
  </conditionalFormatting>
  <conditionalFormatting sqref="V61">
    <cfRule type="expression" dxfId="134" priority="117" stopIfTrue="1">
      <formula>ISNUMBER(V61)=FALSE</formula>
    </cfRule>
    <cfRule type="cellIs" dxfId="133" priority="118" stopIfTrue="1" operator="greaterThan">
      <formula>5</formula>
    </cfRule>
    <cfRule type="cellIs" dxfId="132" priority="119" stopIfTrue="1" operator="between">
      <formula>2</formula>
      <formula>5</formula>
    </cfRule>
    <cfRule type="cellIs" dxfId="131" priority="120" stopIfTrue="1" operator="lessThanOrEqual">
      <formula>2</formula>
    </cfRule>
  </conditionalFormatting>
  <conditionalFormatting sqref="V61">
    <cfRule type="cellIs" dxfId="130" priority="116" stopIfTrue="1" operator="equal">
      <formula>"N/A"</formula>
    </cfRule>
  </conditionalFormatting>
  <conditionalFormatting sqref="V61">
    <cfRule type="notContainsBlanks" dxfId="129" priority="115" stopIfTrue="1">
      <formula>LEN(TRIM(V61))&gt;0</formula>
    </cfRule>
  </conditionalFormatting>
  <conditionalFormatting sqref="W61">
    <cfRule type="expression" dxfId="128" priority="111" stopIfTrue="1">
      <formula>ISNUMBER(W61)=FALSE</formula>
    </cfRule>
    <cfRule type="cellIs" dxfId="127" priority="112" stopIfTrue="1" operator="greaterThan">
      <formula>5</formula>
    </cfRule>
    <cfRule type="cellIs" dxfId="126" priority="113" stopIfTrue="1" operator="between">
      <formula>2</formula>
      <formula>5</formula>
    </cfRule>
    <cfRule type="cellIs" dxfId="125" priority="114" stopIfTrue="1" operator="lessThanOrEqual">
      <formula>2</formula>
    </cfRule>
  </conditionalFormatting>
  <conditionalFormatting sqref="W61">
    <cfRule type="cellIs" dxfId="124" priority="110" stopIfTrue="1" operator="equal">
      <formula>"N/A"</formula>
    </cfRule>
  </conditionalFormatting>
  <conditionalFormatting sqref="W61">
    <cfRule type="notContainsBlanks" dxfId="123" priority="109" stopIfTrue="1">
      <formula>LEN(TRIM(W61))&gt;0</formula>
    </cfRule>
  </conditionalFormatting>
  <conditionalFormatting sqref="X61">
    <cfRule type="expression" dxfId="122" priority="105" stopIfTrue="1">
      <formula>ISNUMBER(X61)=FALSE</formula>
    </cfRule>
    <cfRule type="cellIs" dxfId="121" priority="106" stopIfTrue="1" operator="greaterThan">
      <formula>5</formula>
    </cfRule>
    <cfRule type="cellIs" dxfId="120" priority="107" stopIfTrue="1" operator="between">
      <formula>2</formula>
      <formula>5</formula>
    </cfRule>
    <cfRule type="cellIs" dxfId="119" priority="108" stopIfTrue="1" operator="lessThanOrEqual">
      <formula>2</formula>
    </cfRule>
  </conditionalFormatting>
  <conditionalFormatting sqref="X61">
    <cfRule type="cellIs" dxfId="118" priority="104" stopIfTrue="1" operator="equal">
      <formula>"N/A"</formula>
    </cfRule>
  </conditionalFormatting>
  <conditionalFormatting sqref="X61">
    <cfRule type="notContainsBlanks" dxfId="117" priority="103" stopIfTrue="1">
      <formula>LEN(TRIM(X61))&gt;0</formula>
    </cfRule>
  </conditionalFormatting>
  <conditionalFormatting sqref="H62">
    <cfRule type="expression" dxfId="116" priority="99" stopIfTrue="1">
      <formula>ISNUMBER(H62)=FALSE</formula>
    </cfRule>
    <cfRule type="cellIs" dxfId="115" priority="100" stopIfTrue="1" operator="greaterThan">
      <formula>1</formula>
    </cfRule>
    <cfRule type="cellIs" dxfId="114" priority="101" stopIfTrue="1" operator="equal">
      <formula>1</formula>
    </cfRule>
    <cfRule type="cellIs" dxfId="113" priority="102" stopIfTrue="1" operator="equal">
      <formula>0</formula>
    </cfRule>
  </conditionalFormatting>
  <conditionalFormatting sqref="H62">
    <cfRule type="cellIs" dxfId="112" priority="98" stopIfTrue="1" operator="equal">
      <formula>"N/A"</formula>
    </cfRule>
  </conditionalFormatting>
  <conditionalFormatting sqref="H62">
    <cfRule type="notContainsBlanks" dxfId="111" priority="97" stopIfTrue="1">
      <formula>LEN(TRIM(H62))&gt;0</formula>
    </cfRule>
  </conditionalFormatting>
  <conditionalFormatting sqref="I62">
    <cfRule type="expression" dxfId="110" priority="93" stopIfTrue="1">
      <formula>ISNUMBER(I62)=FALSE</formula>
    </cfRule>
    <cfRule type="cellIs" dxfId="109" priority="94" stopIfTrue="1" operator="greaterThan">
      <formula>1</formula>
    </cfRule>
    <cfRule type="cellIs" dxfId="108" priority="95" stopIfTrue="1" operator="equal">
      <formula>1</formula>
    </cfRule>
    <cfRule type="cellIs" dxfId="107" priority="96" stopIfTrue="1" operator="equal">
      <formula>0</formula>
    </cfRule>
  </conditionalFormatting>
  <conditionalFormatting sqref="I62">
    <cfRule type="cellIs" dxfId="106" priority="92" stopIfTrue="1" operator="equal">
      <formula>"N/A"</formula>
    </cfRule>
  </conditionalFormatting>
  <conditionalFormatting sqref="I62">
    <cfRule type="notContainsBlanks" dxfId="105" priority="91" stopIfTrue="1">
      <formula>LEN(TRIM(I62))&gt;0</formula>
    </cfRule>
  </conditionalFormatting>
  <conditionalFormatting sqref="J62">
    <cfRule type="expression" dxfId="104" priority="87" stopIfTrue="1">
      <formula>ISNUMBER(J62)=FALSE</formula>
    </cfRule>
    <cfRule type="cellIs" dxfId="103" priority="88" stopIfTrue="1" operator="greaterThan">
      <formula>1</formula>
    </cfRule>
    <cfRule type="cellIs" dxfId="102" priority="89" stopIfTrue="1" operator="equal">
      <formula>1</formula>
    </cfRule>
    <cfRule type="cellIs" dxfId="101" priority="90" stopIfTrue="1" operator="equal">
      <formula>0</formula>
    </cfRule>
  </conditionalFormatting>
  <conditionalFormatting sqref="J62">
    <cfRule type="cellIs" dxfId="100" priority="86" stopIfTrue="1" operator="equal">
      <formula>"N/A"</formula>
    </cfRule>
  </conditionalFormatting>
  <conditionalFormatting sqref="J62">
    <cfRule type="notContainsBlanks" dxfId="99" priority="85" stopIfTrue="1">
      <formula>LEN(TRIM(J62))&gt;0</formula>
    </cfRule>
  </conditionalFormatting>
  <conditionalFormatting sqref="K62">
    <cfRule type="expression" dxfId="98" priority="81" stopIfTrue="1">
      <formula>ISNUMBER(K62)=FALSE</formula>
    </cfRule>
    <cfRule type="cellIs" dxfId="97" priority="82" stopIfTrue="1" operator="greaterThan">
      <formula>1</formula>
    </cfRule>
    <cfRule type="cellIs" dxfId="96" priority="83" stopIfTrue="1" operator="equal">
      <formula>1</formula>
    </cfRule>
    <cfRule type="cellIs" dxfId="95" priority="84" stopIfTrue="1" operator="equal">
      <formula>0</formula>
    </cfRule>
  </conditionalFormatting>
  <conditionalFormatting sqref="K62">
    <cfRule type="cellIs" dxfId="94" priority="80" stopIfTrue="1" operator="equal">
      <formula>"N/A"</formula>
    </cfRule>
  </conditionalFormatting>
  <conditionalFormatting sqref="K62">
    <cfRule type="notContainsBlanks" dxfId="93" priority="79" stopIfTrue="1">
      <formula>LEN(TRIM(K62))&gt;0</formula>
    </cfRule>
  </conditionalFormatting>
  <conditionalFormatting sqref="L62">
    <cfRule type="expression" dxfId="92" priority="75" stopIfTrue="1">
      <formula>ISNUMBER(L62)=FALSE</formula>
    </cfRule>
    <cfRule type="cellIs" dxfId="91" priority="76" stopIfTrue="1" operator="greaterThan">
      <formula>1</formula>
    </cfRule>
    <cfRule type="cellIs" dxfId="90" priority="77" stopIfTrue="1" operator="equal">
      <formula>1</formula>
    </cfRule>
    <cfRule type="cellIs" dxfId="89" priority="78" stopIfTrue="1" operator="equal">
      <formula>0</formula>
    </cfRule>
  </conditionalFormatting>
  <conditionalFormatting sqref="L62">
    <cfRule type="cellIs" dxfId="88" priority="74" stopIfTrue="1" operator="equal">
      <formula>"N/A"</formula>
    </cfRule>
  </conditionalFormatting>
  <conditionalFormatting sqref="L62">
    <cfRule type="notContainsBlanks" dxfId="87" priority="73" stopIfTrue="1">
      <formula>LEN(TRIM(L62))&gt;0</formula>
    </cfRule>
  </conditionalFormatting>
  <conditionalFormatting sqref="M62">
    <cfRule type="expression" dxfId="86" priority="69" stopIfTrue="1">
      <formula>ISNUMBER(M62)=FALSE</formula>
    </cfRule>
    <cfRule type="cellIs" dxfId="85" priority="70" stopIfTrue="1" operator="greaterThan">
      <formula>1</formula>
    </cfRule>
    <cfRule type="cellIs" dxfId="84" priority="71" stopIfTrue="1" operator="equal">
      <formula>1</formula>
    </cfRule>
    <cfRule type="cellIs" dxfId="83" priority="72" stopIfTrue="1" operator="equal">
      <formula>0</formula>
    </cfRule>
  </conditionalFormatting>
  <conditionalFormatting sqref="M62">
    <cfRule type="cellIs" dxfId="82" priority="68" stopIfTrue="1" operator="equal">
      <formula>"N/A"</formula>
    </cfRule>
  </conditionalFormatting>
  <conditionalFormatting sqref="M62">
    <cfRule type="notContainsBlanks" dxfId="81" priority="67" stopIfTrue="1">
      <formula>LEN(TRIM(M62))&gt;0</formula>
    </cfRule>
  </conditionalFormatting>
  <conditionalFormatting sqref="N62">
    <cfRule type="expression" dxfId="80" priority="63" stopIfTrue="1">
      <formula>ISNUMBER(N62)=FALSE</formula>
    </cfRule>
    <cfRule type="cellIs" dxfId="79" priority="64" stopIfTrue="1" operator="greaterThan">
      <formula>1</formula>
    </cfRule>
    <cfRule type="cellIs" dxfId="78" priority="65" stopIfTrue="1" operator="equal">
      <formula>1</formula>
    </cfRule>
    <cfRule type="cellIs" dxfId="77" priority="66" stopIfTrue="1" operator="equal">
      <formula>0</formula>
    </cfRule>
  </conditionalFormatting>
  <conditionalFormatting sqref="N62">
    <cfRule type="cellIs" dxfId="76" priority="62" stopIfTrue="1" operator="equal">
      <formula>"N/A"</formula>
    </cfRule>
  </conditionalFormatting>
  <conditionalFormatting sqref="N62">
    <cfRule type="notContainsBlanks" dxfId="75" priority="61" stopIfTrue="1">
      <formula>LEN(TRIM(N62))&gt;0</formula>
    </cfRule>
  </conditionalFormatting>
  <conditionalFormatting sqref="O62">
    <cfRule type="expression" dxfId="74" priority="57" stopIfTrue="1">
      <formula>ISNUMBER(O62)=FALSE</formula>
    </cfRule>
    <cfRule type="cellIs" dxfId="73" priority="58" stopIfTrue="1" operator="greaterThan">
      <formula>1</formula>
    </cfRule>
    <cfRule type="cellIs" dxfId="72" priority="59" stopIfTrue="1" operator="equal">
      <formula>1</formula>
    </cfRule>
    <cfRule type="cellIs" dxfId="71" priority="60" stopIfTrue="1" operator="equal">
      <formula>0</formula>
    </cfRule>
  </conditionalFormatting>
  <conditionalFormatting sqref="O62">
    <cfRule type="cellIs" dxfId="70" priority="56" stopIfTrue="1" operator="equal">
      <formula>"N/A"</formula>
    </cfRule>
  </conditionalFormatting>
  <conditionalFormatting sqref="O62">
    <cfRule type="notContainsBlanks" dxfId="69" priority="55" stopIfTrue="1">
      <formula>LEN(TRIM(O62))&gt;0</formula>
    </cfRule>
  </conditionalFormatting>
  <conditionalFormatting sqref="P62">
    <cfRule type="expression" dxfId="68" priority="51" stopIfTrue="1">
      <formula>ISNUMBER(P62)=FALSE</formula>
    </cfRule>
    <cfRule type="cellIs" dxfId="67" priority="52" stopIfTrue="1" operator="greaterThan">
      <formula>1</formula>
    </cfRule>
    <cfRule type="cellIs" dxfId="66" priority="53" stopIfTrue="1" operator="equal">
      <formula>1</formula>
    </cfRule>
    <cfRule type="cellIs" dxfId="65" priority="54" stopIfTrue="1" operator="equal">
      <formula>0</formula>
    </cfRule>
  </conditionalFormatting>
  <conditionalFormatting sqref="P62">
    <cfRule type="cellIs" dxfId="64" priority="50" stopIfTrue="1" operator="equal">
      <formula>"N/A"</formula>
    </cfRule>
  </conditionalFormatting>
  <conditionalFormatting sqref="P62">
    <cfRule type="notContainsBlanks" dxfId="63" priority="49" stopIfTrue="1">
      <formula>LEN(TRIM(P62))&gt;0</formula>
    </cfRule>
  </conditionalFormatting>
  <conditionalFormatting sqref="R62">
    <cfRule type="expression" dxfId="62" priority="39" stopIfTrue="1">
      <formula>ISNUMBER(R62)=FALSE</formula>
    </cfRule>
    <cfRule type="cellIs" dxfId="61" priority="40" stopIfTrue="1" operator="greaterThan">
      <formula>1</formula>
    </cfRule>
    <cfRule type="cellIs" dxfId="60" priority="41" stopIfTrue="1" operator="equal">
      <formula>1</formula>
    </cfRule>
    <cfRule type="cellIs" dxfId="59" priority="42" stopIfTrue="1" operator="equal">
      <formula>0</formula>
    </cfRule>
  </conditionalFormatting>
  <conditionalFormatting sqref="R62">
    <cfRule type="cellIs" dxfId="58" priority="38" stopIfTrue="1" operator="equal">
      <formula>"N/A"</formula>
    </cfRule>
  </conditionalFormatting>
  <conditionalFormatting sqref="R62">
    <cfRule type="notContainsBlanks" dxfId="57" priority="37" stopIfTrue="1">
      <formula>LEN(TRIM(R62))&gt;0</formula>
    </cfRule>
  </conditionalFormatting>
  <conditionalFormatting sqref="S62">
    <cfRule type="expression" dxfId="56" priority="33" stopIfTrue="1">
      <formula>ISNUMBER(S62)=FALSE</formula>
    </cfRule>
    <cfRule type="cellIs" dxfId="55" priority="34" stopIfTrue="1" operator="greaterThan">
      <formula>1</formula>
    </cfRule>
    <cfRule type="cellIs" dxfId="54" priority="35" stopIfTrue="1" operator="equal">
      <formula>1</formula>
    </cfRule>
    <cfRule type="cellIs" dxfId="53" priority="36" stopIfTrue="1" operator="equal">
      <formula>0</formula>
    </cfRule>
  </conditionalFormatting>
  <conditionalFormatting sqref="S62">
    <cfRule type="cellIs" dxfId="52" priority="32" stopIfTrue="1" operator="equal">
      <formula>"N/A"</formula>
    </cfRule>
  </conditionalFormatting>
  <conditionalFormatting sqref="S62">
    <cfRule type="notContainsBlanks" dxfId="51" priority="31" stopIfTrue="1">
      <formula>LEN(TRIM(S62))&gt;0</formula>
    </cfRule>
  </conditionalFormatting>
  <conditionalFormatting sqref="T62">
    <cfRule type="expression" dxfId="50" priority="27" stopIfTrue="1">
      <formula>ISNUMBER(T62)=FALSE</formula>
    </cfRule>
    <cfRule type="cellIs" dxfId="49" priority="28" stopIfTrue="1" operator="greaterThan">
      <formula>1</formula>
    </cfRule>
    <cfRule type="cellIs" dxfId="48" priority="29" stopIfTrue="1" operator="equal">
      <formula>1</formula>
    </cfRule>
    <cfRule type="cellIs" dxfId="47" priority="30" stopIfTrue="1" operator="equal">
      <formula>0</formula>
    </cfRule>
  </conditionalFormatting>
  <conditionalFormatting sqref="T62">
    <cfRule type="cellIs" dxfId="46" priority="26" stopIfTrue="1" operator="equal">
      <formula>"N/A"</formula>
    </cfRule>
  </conditionalFormatting>
  <conditionalFormatting sqref="T62">
    <cfRule type="notContainsBlanks" dxfId="45" priority="25" stopIfTrue="1">
      <formula>LEN(TRIM(T62))&gt;0</formula>
    </cfRule>
  </conditionalFormatting>
  <conditionalFormatting sqref="U62">
    <cfRule type="expression" dxfId="44" priority="21" stopIfTrue="1">
      <formula>ISNUMBER(U62)=FALSE</formula>
    </cfRule>
    <cfRule type="cellIs" dxfId="43" priority="22" stopIfTrue="1" operator="greaterThan">
      <formula>1</formula>
    </cfRule>
    <cfRule type="cellIs" dxfId="42" priority="23" stopIfTrue="1" operator="equal">
      <formula>1</formula>
    </cfRule>
    <cfRule type="cellIs" dxfId="41" priority="24" stopIfTrue="1" operator="equal">
      <formula>0</formula>
    </cfRule>
  </conditionalFormatting>
  <conditionalFormatting sqref="U62">
    <cfRule type="cellIs" dxfId="40" priority="20" stopIfTrue="1" operator="equal">
      <formula>"N/A"</formula>
    </cfRule>
  </conditionalFormatting>
  <conditionalFormatting sqref="U62">
    <cfRule type="notContainsBlanks" dxfId="39" priority="19" stopIfTrue="1">
      <formula>LEN(TRIM(U62))&gt;0</formula>
    </cfRule>
  </conditionalFormatting>
  <conditionalFormatting sqref="V62">
    <cfRule type="expression" dxfId="38" priority="15" stopIfTrue="1">
      <formula>ISNUMBER(V62)=FALSE</formula>
    </cfRule>
    <cfRule type="cellIs" dxfId="37" priority="16" stopIfTrue="1" operator="greaterThan">
      <formula>1</formula>
    </cfRule>
    <cfRule type="cellIs" dxfId="36" priority="17" stopIfTrue="1" operator="equal">
      <formula>1</formula>
    </cfRule>
    <cfRule type="cellIs" dxfId="35" priority="18" stopIfTrue="1" operator="equal">
      <formula>0</formula>
    </cfRule>
  </conditionalFormatting>
  <conditionalFormatting sqref="V62">
    <cfRule type="cellIs" dxfId="34" priority="14" stopIfTrue="1" operator="equal">
      <formula>"N/A"</formula>
    </cfRule>
  </conditionalFormatting>
  <conditionalFormatting sqref="V62">
    <cfRule type="notContainsBlanks" dxfId="33" priority="13" stopIfTrue="1">
      <formula>LEN(TRIM(V62))&gt;0</formula>
    </cfRule>
  </conditionalFormatting>
  <conditionalFormatting sqref="W62">
    <cfRule type="expression" dxfId="32" priority="9" stopIfTrue="1">
      <formula>ISNUMBER(W62)=FALSE</formula>
    </cfRule>
    <cfRule type="cellIs" dxfId="31" priority="10" stopIfTrue="1" operator="greaterThan">
      <formula>1</formula>
    </cfRule>
    <cfRule type="cellIs" dxfId="30" priority="11" stopIfTrue="1" operator="equal">
      <formula>1</formula>
    </cfRule>
    <cfRule type="cellIs" dxfId="29" priority="12" stopIfTrue="1" operator="equal">
      <formula>0</formula>
    </cfRule>
  </conditionalFormatting>
  <conditionalFormatting sqref="W62">
    <cfRule type="cellIs" dxfId="28" priority="8" stopIfTrue="1" operator="equal">
      <formula>"N/A"</formula>
    </cfRule>
  </conditionalFormatting>
  <conditionalFormatting sqref="W62">
    <cfRule type="notContainsBlanks" dxfId="27" priority="7" stopIfTrue="1">
      <formula>LEN(TRIM(W62))&gt;0</formula>
    </cfRule>
  </conditionalFormatting>
  <conditionalFormatting sqref="X62">
    <cfRule type="expression" dxfId="26" priority="3" stopIfTrue="1">
      <formula>ISNUMBER(X62)=FALSE</formula>
    </cfRule>
    <cfRule type="cellIs" dxfId="25" priority="4" stopIfTrue="1" operator="greaterThan">
      <formula>1</formula>
    </cfRule>
    <cfRule type="cellIs" dxfId="24" priority="5" stopIfTrue="1" operator="equal">
      <formula>1</formula>
    </cfRule>
    <cfRule type="cellIs" dxfId="23" priority="6" stopIfTrue="1" operator="equal">
      <formula>0</formula>
    </cfRule>
  </conditionalFormatting>
  <conditionalFormatting sqref="X62">
    <cfRule type="cellIs" dxfId="22" priority="2" stopIfTrue="1" operator="equal">
      <formula>"N/A"</formula>
    </cfRule>
  </conditionalFormatting>
  <conditionalFormatting sqref="X62">
    <cfRule type="notContainsBlanks" dxfId="21" priority="1" stopIfTrue="1">
      <formula>LEN(TRIM(X62))&gt;0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534E7-EB52-9B4B-93F6-9135C8A087BE}">
  <sheetPr codeName="Sheet5">
    <tabColor theme="8" tint="0.79998168889431442"/>
  </sheetPr>
  <dimension ref="B1:Y53"/>
  <sheetViews>
    <sheetView zoomScaleNormal="71" workbookViewId="0">
      <pane xSplit="3" topLeftCell="D1" activePane="topRight" state="frozen"/>
      <selection pane="topRight" activeCell="X11" sqref="X11"/>
    </sheetView>
  </sheetViews>
  <sheetFormatPr baseColWidth="10" defaultColWidth="11" defaultRowHeight="15" customHeight="1"/>
  <cols>
    <col min="1" max="1" width="1.5" customWidth="1"/>
    <col min="2" max="2" width="7.5" bestFit="1" customWidth="1"/>
    <col min="3" max="3" width="42.33203125" bestFit="1" customWidth="1"/>
    <col min="4" max="4" width="7.5" customWidth="1"/>
    <col min="5" max="7" width="8.5" bestFit="1" customWidth="1"/>
    <col min="8" max="8" width="7" customWidth="1"/>
    <col min="9" max="9" width="6.83203125" customWidth="1"/>
    <col min="10" max="10" width="7.5" customWidth="1"/>
    <col min="11" max="11" width="7.33203125" customWidth="1"/>
    <col min="12" max="12" width="7.83203125" customWidth="1"/>
    <col min="13" max="13" width="8.5" customWidth="1"/>
    <col min="14" max="14" width="6.83203125" customWidth="1"/>
    <col min="15" max="15" width="8.5" customWidth="1"/>
    <col min="16" max="16" width="7" customWidth="1"/>
    <col min="17" max="20" width="6.5" customWidth="1"/>
  </cols>
  <sheetData>
    <row r="1" spans="2:24" ht="51" customHeight="1">
      <c r="B1" s="389" t="s">
        <v>184</v>
      </c>
      <c r="C1" s="390"/>
      <c r="D1" s="392" t="s">
        <v>215</v>
      </c>
      <c r="E1" s="392"/>
      <c r="F1" s="392"/>
      <c r="G1" s="392"/>
      <c r="H1" s="392"/>
      <c r="I1" s="392"/>
      <c r="J1" s="392"/>
      <c r="K1" s="392"/>
      <c r="L1" s="392"/>
      <c r="M1" s="392"/>
      <c r="N1" s="392"/>
      <c r="O1" s="392"/>
      <c r="P1" s="392"/>
      <c r="Q1" s="392"/>
      <c r="R1" s="392"/>
      <c r="S1" s="392"/>
      <c r="T1" s="392"/>
      <c r="W1" s="391" t="s">
        <v>216</v>
      </c>
      <c r="X1" s="391"/>
    </row>
    <row r="2" spans="2:24" ht="75" customHeight="1">
      <c r="B2" s="26" t="s">
        <v>4</v>
      </c>
      <c r="C2" s="27" t="s">
        <v>6</v>
      </c>
      <c r="D2" s="319" t="str">
        <f>Instructions!B8</f>
        <v>Bryte Activation</v>
      </c>
      <c r="E2" s="218" t="str">
        <f>Instructions!B9</f>
        <v>Intent Classifier And Entity Recognition</v>
      </c>
      <c r="F2" s="218" t="str">
        <f>Instructions!B10</f>
        <v>Adversarial Check</v>
      </c>
      <c r="G2" s="218" t="str">
        <f>Instructions!B11</f>
        <v xml:space="preserve">Intent Training Metrics </v>
      </c>
      <c r="H2" s="218" t="str">
        <f>Instructions!B12</f>
        <v>Skills</v>
      </c>
      <c r="I2" s="218" t="str">
        <f>Instructions!B13</f>
        <v>DSAAS</v>
      </c>
      <c r="J2" s="218" t="str">
        <f>Instructions!B14</f>
        <v>RAG</v>
      </c>
      <c r="K2" s="218" t="str">
        <f>Instructions!B15</f>
        <v>Agent Framework</v>
      </c>
      <c r="L2" s="218" t="str">
        <f>Instructions!B16</f>
        <v>URIKA</v>
      </c>
      <c r="M2" s="218" t="str">
        <f>Instructions!B17</f>
        <v>Mission Control</v>
      </c>
      <c r="N2" s="218" t="str">
        <f>Instructions!B18</f>
        <v>UKG GPT</v>
      </c>
      <c r="O2" s="218" t="str">
        <f>Instructions!B19</f>
        <v>GPTW/DEIB</v>
      </c>
      <c r="P2" s="218" t="str">
        <f>Instructions!B20</f>
        <v>Tech Platform</v>
      </c>
      <c r="Q2" s="320" t="str">
        <f>Instructions!B21</f>
        <v>PGE</v>
      </c>
      <c r="R2" s="320" t="str">
        <f>Instructions!B22</f>
        <v>OneWebMFE</v>
      </c>
      <c r="S2" s="320" t="str">
        <f>Instructions!B23</f>
        <v>Bryte Assist</v>
      </c>
      <c r="T2" s="320" t="str">
        <f>Instructions!B24</f>
        <v>OneWeb Services</v>
      </c>
    </row>
    <row r="3" spans="2:24" ht="15" customHeight="1">
      <c r="B3" s="41" t="s">
        <v>8</v>
      </c>
      <c r="C3" s="77" t="s">
        <v>10</v>
      </c>
      <c r="D3" s="197" t="str">
        <f>IF(NOT(ISBLANK('AI (Maturity Eval)'!D13)),'AI (Maturity Eval)'!D13,"")</f>
        <v>N</v>
      </c>
      <c r="E3" s="197" t="str">
        <f>IF(NOT(ISBLANK('AI (Maturity Eval)'!I13)),'AI (Maturity Eval)'!I13,"")</f>
        <v>Y</v>
      </c>
      <c r="F3" s="197" t="str">
        <f>IF(NOT(ISBLANK('AI (Maturity Eval)'!N13)),'AI (Maturity Eval)'!N13,"")</f>
        <v>N</v>
      </c>
      <c r="G3" s="197" t="str">
        <f>IF(NOT(ISBLANK('AI (Maturity Eval)'!S13)),'AI (Maturity Eval)'!S13,"")</f>
        <v>Y</v>
      </c>
      <c r="H3" s="197" t="str">
        <f>IF(NOT(ISBLANK('AI (Maturity Eval)'!X13)),'AI (Maturity Eval)'!X13,"")</f>
        <v>N</v>
      </c>
      <c r="I3" s="197" t="str">
        <f>IF(NOT(ISBLANK('AI (Maturity Eval)'!AC13)),'AI (Maturity Eval)'!AC13,"")</f>
        <v>N</v>
      </c>
      <c r="J3" s="197" t="str">
        <f>IF(NOT(ISBLANK('AI (Maturity Eval)'!AH13)),'AI (Maturity Eval)'!AH13,"")</f>
        <v>N</v>
      </c>
      <c r="K3" s="197" t="str">
        <f>IF(NOT(ISBLANK('AI (Maturity Eval)'!AM13)),'AI (Maturity Eval)'!AM13,"")</f>
        <v>N</v>
      </c>
      <c r="L3" s="197" t="str">
        <f>IF(NOT(ISBLANK('AI (Maturity Eval)'!AR13)),'AI (Maturity Eval)'!AR13,"")</f>
        <v>Y</v>
      </c>
      <c r="M3" s="197" t="str">
        <f>IF(NOT(ISBLANK('AI (Maturity Eval)'!AW13)),'AI (Maturity Eval)'!AW13,"")</f>
        <v>Y</v>
      </c>
      <c r="N3" s="197" t="str">
        <f>IF(NOT(ISBLANK('AI (Maturity Eval)'!BB13)),'AI (Maturity Eval)'!BB13,"")</f>
        <v>Y</v>
      </c>
      <c r="O3" s="197" t="str">
        <f>IF(NOT(ISBLANK('AI (Maturity Eval)'!BG13)),'AI (Maturity Eval)'!BG13,"")</f>
        <v>TBD</v>
      </c>
      <c r="P3" s="197" t="str">
        <f>IF(NOT(ISBLANK('AI (Maturity Eval)'!BL13)),'AI (Maturity Eval)'!BL13,"")</f>
        <v>Y</v>
      </c>
      <c r="Q3" s="219" t="str">
        <f>IF(NOT(ISBLANK('AI (Maturity Eval)'!BQ13)),'AI (Maturity Eval)'!BQ13,"")</f>
        <v>TBD</v>
      </c>
      <c r="R3" s="219" t="str">
        <f>IF(NOT(ISBLANK('AI (Maturity Eval)'!BV13)),'AI (Maturity Eval)'!BV13,"")</f>
        <v>N/A</v>
      </c>
      <c r="S3" s="219" t="str">
        <f>IF(NOT(ISBLANK('AI (Maturity Eval)'!CA13)),'AI (Maturity Eval)'!CA13,"")</f>
        <v>N</v>
      </c>
      <c r="T3" s="219" t="str">
        <f>IF(NOT(ISBLANK('AI (Maturity Eval)'!CF13)),'AI (Maturity Eval)'!CF13,"")</f>
        <v>TBD</v>
      </c>
    </row>
    <row r="4" spans="2:24" ht="15" customHeight="1">
      <c r="B4" s="35" t="s">
        <v>8</v>
      </c>
      <c r="C4" s="34" t="s">
        <v>12</v>
      </c>
      <c r="D4" s="197" t="str">
        <f>IF(NOT(ISBLANK('AI (Maturity Eval)'!D14)),'AI (Maturity Eval)'!D14,"")</f>
        <v>N/A</v>
      </c>
      <c r="E4" s="197" t="str">
        <f>IF(NOT(ISBLANK('AI (Maturity Eval)'!I14)),'AI (Maturity Eval)'!I14,"")</f>
        <v>Y</v>
      </c>
      <c r="F4" s="197" t="str">
        <f>IF(NOT(ISBLANK('AI (Maturity Eval)'!N14)),'AI (Maturity Eval)'!N14,"")</f>
        <v>N/A</v>
      </c>
      <c r="G4" s="197" t="str">
        <f>IF(NOT(ISBLANK('AI (Maturity Eval)'!S14)),'AI (Maturity Eval)'!S14,"")</f>
        <v>Y</v>
      </c>
      <c r="H4" s="197" t="str">
        <f>IF(NOT(ISBLANK('AI (Maturity Eval)'!X14)),'AI (Maturity Eval)'!X14,"")</f>
        <v>Y</v>
      </c>
      <c r="I4" s="197" t="str">
        <f>IF(NOT(ISBLANK('AI (Maturity Eval)'!AC14)),'AI (Maturity Eval)'!AC14,"")</f>
        <v>N</v>
      </c>
      <c r="J4" s="197" t="str">
        <f>IF(NOT(ISBLANK('AI (Maturity Eval)'!AH14)),'AI (Maturity Eval)'!AH14,"")</f>
        <v>N/A</v>
      </c>
      <c r="K4" s="197" t="str">
        <f>IF(NOT(ISBLANK('AI (Maturity Eval)'!AM14)),'AI (Maturity Eval)'!AM14,"")</f>
        <v>Y</v>
      </c>
      <c r="L4" s="197" t="str">
        <f>IF(NOT(ISBLANK('AI (Maturity Eval)'!AR14)),'AI (Maturity Eval)'!AR14,"")</f>
        <v>Y</v>
      </c>
      <c r="M4" s="197" t="str">
        <f>IF(NOT(ISBLANK('AI (Maturity Eval)'!AW14)),'AI (Maturity Eval)'!AW14,"")</f>
        <v>Y</v>
      </c>
      <c r="N4" s="197" t="str">
        <f>IF(NOT(ISBLANK('AI (Maturity Eval)'!BB14)),'AI (Maturity Eval)'!BB14,"")</f>
        <v>Y</v>
      </c>
      <c r="O4" s="197" t="str">
        <f>IF(NOT(ISBLANK('AI (Maturity Eval)'!BG14)),'AI (Maturity Eval)'!BG14,"")</f>
        <v>TBD</v>
      </c>
      <c r="P4" s="197" t="str">
        <f>IF(NOT(ISBLANK('AI (Maturity Eval)'!BL14)),'AI (Maturity Eval)'!BL14,"")</f>
        <v>Y</v>
      </c>
      <c r="Q4" s="219" t="str">
        <f>IF(NOT(ISBLANK('AI (Maturity Eval)'!BQ14)),'AI (Maturity Eval)'!BQ14,"")</f>
        <v>TBD</v>
      </c>
      <c r="R4" s="219" t="str">
        <f>IF(NOT(ISBLANK('AI (Maturity Eval)'!BV14)),'AI (Maturity Eval)'!BV14,"")</f>
        <v>N/A</v>
      </c>
      <c r="S4" s="219" t="str">
        <f>IF(NOT(ISBLANK('AI (Maturity Eval)'!CA14)),'AI (Maturity Eval)'!CA14,"")</f>
        <v>Y</v>
      </c>
      <c r="T4" s="219" t="str">
        <f>IF(NOT(ISBLANK('AI (Maturity Eval)'!CF14)),'AI (Maturity Eval)'!CF14,"")</f>
        <v>TBD</v>
      </c>
    </row>
    <row r="5" spans="2:24" ht="15" customHeight="1">
      <c r="B5" s="35" t="s">
        <v>8</v>
      </c>
      <c r="C5" s="23" t="s">
        <v>14</v>
      </c>
      <c r="D5" s="197" t="str">
        <f>IF(NOT(ISBLANK('AI (Maturity Eval)'!D15)),'AI (Maturity Eval)'!D15,"")</f>
        <v>N</v>
      </c>
      <c r="E5" s="197" t="str">
        <f>IF(NOT(ISBLANK('AI (Maturity Eval)'!I15)),'AI (Maturity Eval)'!I15,"")</f>
        <v>Y</v>
      </c>
      <c r="F5" s="197" t="str">
        <f>IF(NOT(ISBLANK('AI (Maturity Eval)'!N15)),'AI (Maturity Eval)'!N15,"")</f>
        <v>N</v>
      </c>
      <c r="G5" s="197" t="str">
        <f>IF(NOT(ISBLANK('AI (Maturity Eval)'!S15)),'AI (Maturity Eval)'!S15,"")</f>
        <v>Y</v>
      </c>
      <c r="H5" s="197" t="str">
        <f>IF(NOT(ISBLANK('AI (Maturity Eval)'!X15)),'AI (Maturity Eval)'!X15,"")</f>
        <v>?</v>
      </c>
      <c r="I5" s="197" t="str">
        <f>IF(NOT(ISBLANK('AI (Maturity Eval)'!AC15)),'AI (Maturity Eval)'!AC15,"")</f>
        <v>N</v>
      </c>
      <c r="J5" s="197" t="str">
        <f>IF(NOT(ISBLANK('AI (Maturity Eval)'!AH15)),'AI (Maturity Eval)'!AH15,"")</f>
        <v>?</v>
      </c>
      <c r="K5" s="197" t="str">
        <f>IF(NOT(ISBLANK('AI (Maturity Eval)'!AM15)),'AI (Maturity Eval)'!AM15,"")</f>
        <v>?</v>
      </c>
      <c r="L5" s="197" t="str">
        <f>IF(NOT(ISBLANK('AI (Maturity Eval)'!AR15)),'AI (Maturity Eval)'!AR15,"")</f>
        <v>N/A</v>
      </c>
      <c r="M5" s="197" t="str">
        <f>IF(NOT(ISBLANK('AI (Maturity Eval)'!AW15)),'AI (Maturity Eval)'!AW15,"")</f>
        <v>Y</v>
      </c>
      <c r="N5" s="197" t="str">
        <f>IF(NOT(ISBLANK('AI (Maturity Eval)'!BB15)),'AI (Maturity Eval)'!BB15,"")</f>
        <v>N/A</v>
      </c>
      <c r="O5" s="197" t="str">
        <f>IF(NOT(ISBLANK('AI (Maturity Eval)'!BG15)),'AI (Maturity Eval)'!BG15,"")</f>
        <v>TBD</v>
      </c>
      <c r="P5" s="197" t="str">
        <f>IF(NOT(ISBLANK('AI (Maturity Eval)'!BL15)),'AI (Maturity Eval)'!BL15,"")</f>
        <v>Partial</v>
      </c>
      <c r="Q5" s="219" t="str">
        <f>IF(NOT(ISBLANK('AI (Maturity Eval)'!BQ15)),'AI (Maturity Eval)'!BQ15,"")</f>
        <v>TBD</v>
      </c>
      <c r="R5" s="219" t="str">
        <f>IF(NOT(ISBLANK('AI (Maturity Eval)'!BV15)),'AI (Maturity Eval)'!BV15,"")</f>
        <v>N/A</v>
      </c>
      <c r="S5" s="219" t="str">
        <f>IF(NOT(ISBLANK('AI (Maturity Eval)'!CA15)),'AI (Maturity Eval)'!CA15,"")</f>
        <v>Y</v>
      </c>
      <c r="T5" s="219" t="str">
        <f>IF(NOT(ISBLANK('AI (Maturity Eval)'!CF15)),'AI (Maturity Eval)'!CF15,"")</f>
        <v>TBD</v>
      </c>
    </row>
    <row r="6" spans="2:24" ht="15" customHeight="1">
      <c r="B6" s="35" t="s">
        <v>8</v>
      </c>
      <c r="C6" s="23" t="s">
        <v>16</v>
      </c>
      <c r="D6" s="197" t="str">
        <f>IF(NOT(ISBLANK('AI (Maturity Eval)'!D16)),'AI (Maturity Eval)'!D16,"")</f>
        <v>N</v>
      </c>
      <c r="E6" s="197" t="str">
        <f>IF(NOT(ISBLANK('AI (Maturity Eval)'!I16)),'AI (Maturity Eval)'!I16,"")</f>
        <v>Y</v>
      </c>
      <c r="F6" s="197" t="str">
        <f>IF(NOT(ISBLANK('AI (Maturity Eval)'!N16)),'AI (Maturity Eval)'!N16,"")</f>
        <v>N</v>
      </c>
      <c r="G6" s="197" t="str">
        <f>IF(NOT(ISBLANK('AI (Maturity Eval)'!S16)),'AI (Maturity Eval)'!S16,"")</f>
        <v>Y</v>
      </c>
      <c r="H6" s="197" t="str">
        <f>IF(NOT(ISBLANK('AI (Maturity Eval)'!X16)),'AI (Maturity Eval)'!X16,"")</f>
        <v>?</v>
      </c>
      <c r="I6" s="197" t="str">
        <f>IF(NOT(ISBLANK('AI (Maturity Eval)'!AC16)),'AI (Maturity Eval)'!AC16,"")</f>
        <v>N</v>
      </c>
      <c r="J6" s="197" t="str">
        <f>IF(NOT(ISBLANK('AI (Maturity Eval)'!AH16)),'AI (Maturity Eval)'!AH16,"")</f>
        <v>N</v>
      </c>
      <c r="K6" s="197" t="str">
        <f>IF(NOT(ISBLANK('AI (Maturity Eval)'!AM16)),'AI (Maturity Eval)'!AM16,"")</f>
        <v>N</v>
      </c>
      <c r="L6" s="197" t="str">
        <f>IF(NOT(ISBLANK('AI (Maturity Eval)'!AR16)),'AI (Maturity Eval)'!AR16,"")</f>
        <v>N/A</v>
      </c>
      <c r="M6" s="197" t="str">
        <f>IF(NOT(ISBLANK('AI (Maturity Eval)'!AW16)),'AI (Maturity Eval)'!AW16,"")</f>
        <v>Y</v>
      </c>
      <c r="N6" s="197" t="str">
        <f>IF(NOT(ISBLANK('AI (Maturity Eval)'!BB16)),'AI (Maturity Eval)'!BB16,"")</f>
        <v>N/A</v>
      </c>
      <c r="O6" s="197" t="str">
        <f>IF(NOT(ISBLANK('AI (Maturity Eval)'!BG16)),'AI (Maturity Eval)'!BG16,"")</f>
        <v>TBD</v>
      </c>
      <c r="P6" s="197" t="str">
        <f>IF(NOT(ISBLANK('AI (Maturity Eval)'!BL16)),'AI (Maturity Eval)'!BL16,"")</f>
        <v>Partial</v>
      </c>
      <c r="Q6" s="219" t="str">
        <f>IF(NOT(ISBLANK('AI (Maturity Eval)'!BQ16)),'AI (Maturity Eval)'!BQ16,"")</f>
        <v>TBD</v>
      </c>
      <c r="R6" s="219" t="str">
        <f>IF(NOT(ISBLANK('AI (Maturity Eval)'!BV16)),'AI (Maturity Eval)'!BV16,"")</f>
        <v>N/A</v>
      </c>
      <c r="S6" s="219" t="str">
        <f>IF(NOT(ISBLANK('AI (Maturity Eval)'!CA16)),'AI (Maturity Eval)'!CA16,"")</f>
        <v>N</v>
      </c>
      <c r="T6" s="219" t="str">
        <f>IF(NOT(ISBLANK('AI (Maturity Eval)'!CF16)),'AI (Maturity Eval)'!CF16,"")</f>
        <v>N/A</v>
      </c>
    </row>
    <row r="7" spans="2:24" ht="15" customHeight="1">
      <c r="B7" s="35" t="s">
        <v>8</v>
      </c>
      <c r="C7" s="78" t="s">
        <v>18</v>
      </c>
      <c r="D7" s="197" t="str">
        <f>IF(NOT(ISBLANK('AI (Maturity Eval)'!D17)),'AI (Maturity Eval)'!D17,"")</f>
        <v>N</v>
      </c>
      <c r="E7" s="197" t="str">
        <f>IF(NOT(ISBLANK('AI (Maturity Eval)'!I17)),'AI (Maturity Eval)'!I17,"")</f>
        <v>N/A</v>
      </c>
      <c r="F7" s="197" t="str">
        <f>IF(NOT(ISBLANK('AI (Maturity Eval)'!N17)),'AI (Maturity Eval)'!N17,"")</f>
        <v>N</v>
      </c>
      <c r="G7" s="197" t="str">
        <f>IF(NOT(ISBLANK('AI (Maturity Eval)'!S17)),'AI (Maturity Eval)'!S17,"")</f>
        <v>N/A</v>
      </c>
      <c r="H7" s="197" t="str">
        <f>IF(NOT(ISBLANK('AI (Maturity Eval)'!X17)),'AI (Maturity Eval)'!X17,"")</f>
        <v>?</v>
      </c>
      <c r="I7" s="197" t="str">
        <f>IF(NOT(ISBLANK('AI (Maturity Eval)'!AC17)),'AI (Maturity Eval)'!AC17,"")</f>
        <v>N</v>
      </c>
      <c r="J7" s="197" t="str">
        <f>IF(NOT(ISBLANK('AI (Maturity Eval)'!AH17)),'AI (Maturity Eval)'!AH17,"")</f>
        <v>?</v>
      </c>
      <c r="K7" s="197" t="str">
        <f>IF(NOT(ISBLANK('AI (Maturity Eval)'!AM17)),'AI (Maturity Eval)'!AM17,"")</f>
        <v>?</v>
      </c>
      <c r="L7" s="197" t="str">
        <f>IF(NOT(ISBLANK('AI (Maturity Eval)'!AR17)),'AI (Maturity Eval)'!AR17,"")</f>
        <v>Y</v>
      </c>
      <c r="M7" s="197" t="str">
        <f>IF(NOT(ISBLANK('AI (Maturity Eval)'!AW17)),'AI (Maturity Eval)'!AW17,"")</f>
        <v>Y</v>
      </c>
      <c r="N7" s="197" t="str">
        <f>IF(NOT(ISBLANK('AI (Maturity Eval)'!BB17)),'AI (Maturity Eval)'!BB17,"")</f>
        <v>Y</v>
      </c>
      <c r="O7" s="197" t="str">
        <f>IF(NOT(ISBLANK('AI (Maturity Eval)'!BG17)),'AI (Maturity Eval)'!BG17,"")</f>
        <v>TBD</v>
      </c>
      <c r="P7" s="197" t="str">
        <f>IF(NOT(ISBLANK('AI (Maturity Eval)'!BL17)),'AI (Maturity Eval)'!BL17,"")</f>
        <v>Y</v>
      </c>
      <c r="Q7" s="219" t="str">
        <f>IF(NOT(ISBLANK('AI (Maturity Eval)'!BQ17)),'AI (Maturity Eval)'!BQ17,"")</f>
        <v>TBD</v>
      </c>
      <c r="R7" s="219" t="str">
        <f>IF(NOT(ISBLANK('AI (Maturity Eval)'!BV17)),'AI (Maturity Eval)'!BV17,"")</f>
        <v>N/A</v>
      </c>
      <c r="S7" s="219" t="str">
        <f>IF(NOT(ISBLANK('AI (Maturity Eval)'!CA17)),'AI (Maturity Eval)'!CA17,"")</f>
        <v>N</v>
      </c>
      <c r="T7" s="219" t="str">
        <f>IF(NOT(ISBLANK('AI (Maturity Eval)'!CF17)),'AI (Maturity Eval)'!CF17,"")</f>
        <v>N</v>
      </c>
    </row>
    <row r="8" spans="2:24" ht="15" customHeight="1">
      <c r="B8" s="35" t="s">
        <v>8</v>
      </c>
      <c r="C8" s="23" t="s">
        <v>20</v>
      </c>
      <c r="D8" s="197" t="str">
        <f>IF(NOT(ISBLANK('AI (Maturity Eval)'!D18)),'AI (Maturity Eval)'!D18,"")</f>
        <v>N</v>
      </c>
      <c r="E8" s="197" t="str">
        <f>IF(NOT(ISBLANK('AI (Maturity Eval)'!I18)),'AI (Maturity Eval)'!I18,"")</f>
        <v>N/A</v>
      </c>
      <c r="F8" s="197" t="str">
        <f>IF(NOT(ISBLANK('AI (Maturity Eval)'!N18)),'AI (Maturity Eval)'!N18,"")</f>
        <v>N</v>
      </c>
      <c r="G8" s="197" t="str">
        <f>IF(NOT(ISBLANK('AI (Maturity Eval)'!S18)),'AI (Maturity Eval)'!S18,"")</f>
        <v>N/A</v>
      </c>
      <c r="H8" s="197" t="str">
        <f>IF(NOT(ISBLANK('AI (Maturity Eval)'!X18)),'AI (Maturity Eval)'!X18,"")</f>
        <v>?</v>
      </c>
      <c r="I8" s="197" t="str">
        <f>IF(NOT(ISBLANK('AI (Maturity Eval)'!AC18)),'AI (Maturity Eval)'!AC18,"")</f>
        <v>N</v>
      </c>
      <c r="J8" s="197" t="str">
        <f>IF(NOT(ISBLANK('AI (Maturity Eval)'!AH18)),'AI (Maturity Eval)'!AH18,"")</f>
        <v>?</v>
      </c>
      <c r="K8" s="197" t="str">
        <f>IF(NOT(ISBLANK('AI (Maturity Eval)'!AM18)),'AI (Maturity Eval)'!AM18,"")</f>
        <v>?</v>
      </c>
      <c r="L8" s="197" t="str">
        <f>IF(NOT(ISBLANK('AI (Maturity Eval)'!AR18)),'AI (Maturity Eval)'!AR18,"")</f>
        <v>Y</v>
      </c>
      <c r="M8" s="197" t="str">
        <f>IF(NOT(ISBLANK('AI (Maturity Eval)'!AW18)),'AI (Maturity Eval)'!AW18,"")</f>
        <v>Y</v>
      </c>
      <c r="N8" s="197" t="str">
        <f>IF(NOT(ISBLANK('AI (Maturity Eval)'!BB18)),'AI (Maturity Eval)'!BB18,"")</f>
        <v>Y</v>
      </c>
      <c r="O8" s="197" t="str">
        <f>IF(NOT(ISBLANK('AI (Maturity Eval)'!BG18)),'AI (Maturity Eval)'!BG18,"")</f>
        <v>TBD</v>
      </c>
      <c r="P8" s="197" t="str">
        <f>IF(NOT(ISBLANK('AI (Maturity Eval)'!BL18)),'AI (Maturity Eval)'!BL18,"")</f>
        <v>Y</v>
      </c>
      <c r="Q8" s="219" t="str">
        <f>IF(NOT(ISBLANK('AI (Maturity Eval)'!BQ18)),'AI (Maturity Eval)'!BQ18,"")</f>
        <v>TBD</v>
      </c>
      <c r="R8" s="219" t="str">
        <f>IF(NOT(ISBLANK('AI (Maturity Eval)'!BV18)),'AI (Maturity Eval)'!BV18,"")</f>
        <v>N/A</v>
      </c>
      <c r="S8" s="219" t="str">
        <f>IF(NOT(ISBLANK('AI (Maturity Eval)'!CA18)),'AI (Maturity Eval)'!CA18,"")</f>
        <v>N</v>
      </c>
      <c r="T8" s="219" t="str">
        <f>IF(NOT(ISBLANK('AI (Maturity Eval)'!CF18)),'AI (Maturity Eval)'!CF18,"")</f>
        <v>Y</v>
      </c>
    </row>
    <row r="9" spans="2:24" ht="15" customHeight="1">
      <c r="B9" s="13" t="s">
        <v>22</v>
      </c>
      <c r="C9" s="79" t="s">
        <v>24</v>
      </c>
      <c r="D9" s="197" t="str">
        <f>IF(NOT(ISBLANK('AI (Maturity Eval)'!D19)),'AI (Maturity Eval)'!D19,"")</f>
        <v>Y</v>
      </c>
      <c r="E9" s="197" t="str">
        <f>IF(NOT(ISBLANK('AI (Maturity Eval)'!I19)),'AI (Maturity Eval)'!I19,"")</f>
        <v>Y</v>
      </c>
      <c r="F9" s="197" t="str">
        <f>IF(NOT(ISBLANK('AI (Maturity Eval)'!N19)),'AI (Maturity Eval)'!N19,"")</f>
        <v>Y</v>
      </c>
      <c r="G9" s="197" t="str">
        <f>IF(NOT(ISBLANK('AI (Maturity Eval)'!S19)),'AI (Maturity Eval)'!S19,"")</f>
        <v>Y</v>
      </c>
      <c r="H9" s="197" t="str">
        <f>IF(NOT(ISBLANK('AI (Maturity Eval)'!X19)),'AI (Maturity Eval)'!X19,"")</f>
        <v>Y</v>
      </c>
      <c r="I9" s="197" t="str">
        <f>IF(NOT(ISBLANK('AI (Maturity Eval)'!AC19)),'AI (Maturity Eval)'!AC19,"")</f>
        <v>Y</v>
      </c>
      <c r="J9" s="197" t="str">
        <f>IF(NOT(ISBLANK('AI (Maturity Eval)'!AH19)),'AI (Maturity Eval)'!AH19,"")</f>
        <v>Y</v>
      </c>
      <c r="K9" s="197" t="str">
        <f>IF(NOT(ISBLANK('AI (Maturity Eval)'!AM19)),'AI (Maturity Eval)'!AM19,"")</f>
        <v>Y</v>
      </c>
      <c r="L9" s="197" t="str">
        <f>IF(NOT(ISBLANK('AI (Maturity Eval)'!AR19)),'AI (Maturity Eval)'!AR19,"")</f>
        <v>Y</v>
      </c>
      <c r="M9" s="197" t="str">
        <f>IF(NOT(ISBLANK('AI (Maturity Eval)'!AW19)),'AI (Maturity Eval)'!AW19,"")</f>
        <v>N/A</v>
      </c>
      <c r="N9" s="197" t="str">
        <f>IF(NOT(ISBLANK('AI (Maturity Eval)'!BB19)),'AI (Maturity Eval)'!BB19,"")</f>
        <v>Y</v>
      </c>
      <c r="O9" s="197" t="str">
        <f>IF(NOT(ISBLANK('AI (Maturity Eval)'!BG19)),'AI (Maturity Eval)'!BG19,"")</f>
        <v>Y</v>
      </c>
      <c r="P9" s="197" t="str">
        <f>IF(NOT(ISBLANK('AI (Maturity Eval)'!BL19)),'AI (Maturity Eval)'!BL19,"")</f>
        <v>Y</v>
      </c>
      <c r="Q9" s="219" t="str">
        <f>IF(NOT(ISBLANK('AI (Maturity Eval)'!BQ19)),'AI (Maturity Eval)'!BQ19,"")</f>
        <v>TBD</v>
      </c>
      <c r="R9" s="219" t="str">
        <f>IF(NOT(ISBLANK('AI (Maturity Eval)'!BV19)),'AI (Maturity Eval)'!BV19,"")</f>
        <v>N/A</v>
      </c>
      <c r="S9" s="219" t="str">
        <f>IF(NOT(ISBLANK('AI (Maturity Eval)'!CA19)),'AI (Maturity Eval)'!CA19,"")</f>
        <v>N/A</v>
      </c>
      <c r="T9" s="219" t="str">
        <f>IF(NOT(ISBLANK('AI (Maturity Eval)'!CF19)),'AI (Maturity Eval)'!CF19,"")</f>
        <v>`</v>
      </c>
    </row>
    <row r="10" spans="2:24" ht="15" customHeight="1">
      <c r="B10" s="13" t="s">
        <v>22</v>
      </c>
      <c r="C10" s="79" t="s">
        <v>26</v>
      </c>
      <c r="D10" s="197" t="str">
        <f>IF(NOT(ISBLANK('AI (Maturity Eval)'!D20)),'AI (Maturity Eval)'!D20,"")</f>
        <v>N/A</v>
      </c>
      <c r="E10" s="197" t="str">
        <f>IF(NOT(ISBLANK('AI (Maturity Eval)'!I20)),'AI (Maturity Eval)'!I20,"")</f>
        <v>Y</v>
      </c>
      <c r="F10" s="197" t="str">
        <f>IF(NOT(ISBLANK('AI (Maturity Eval)'!N20)),'AI (Maturity Eval)'!N20,"")</f>
        <v>Y</v>
      </c>
      <c r="G10" s="197" t="str">
        <f>IF(NOT(ISBLANK('AI (Maturity Eval)'!S20)),'AI (Maturity Eval)'!S20,"")</f>
        <v>Y</v>
      </c>
      <c r="H10" s="197" t="str">
        <f>IF(NOT(ISBLANK('AI (Maturity Eval)'!X20)),'AI (Maturity Eval)'!X20,"")</f>
        <v>Y</v>
      </c>
      <c r="I10" s="197" t="str">
        <f>IF(NOT(ISBLANK('AI (Maturity Eval)'!AC20)),'AI (Maturity Eval)'!AC20,"")</f>
        <v>Y</v>
      </c>
      <c r="J10" s="197" t="str">
        <f>IF(NOT(ISBLANK('AI (Maturity Eval)'!AH20)),'AI (Maturity Eval)'!AH20,"")</f>
        <v>Y</v>
      </c>
      <c r="K10" s="197" t="str">
        <f>IF(NOT(ISBLANK('AI (Maturity Eval)'!AM20)),'AI (Maturity Eval)'!AM20,"")</f>
        <v>Y</v>
      </c>
      <c r="L10" s="197" t="str">
        <f>IF(NOT(ISBLANK('AI (Maturity Eval)'!AR20)),'AI (Maturity Eval)'!AR20,"")</f>
        <v>Y</v>
      </c>
      <c r="M10" s="197" t="str">
        <f>IF(NOT(ISBLANK('AI (Maturity Eval)'!AW20)),'AI (Maturity Eval)'!AW20,"")</f>
        <v>N/A</v>
      </c>
      <c r="N10" s="197" t="str">
        <f>IF(NOT(ISBLANK('AI (Maturity Eval)'!BB20)),'AI (Maturity Eval)'!BB20,"")</f>
        <v>Y</v>
      </c>
      <c r="O10" s="197" t="str">
        <f>IF(NOT(ISBLANK('AI (Maturity Eval)'!BG20)),'AI (Maturity Eval)'!BG20,"")</f>
        <v>Y</v>
      </c>
      <c r="P10" s="197" t="str">
        <f>IF(NOT(ISBLANK('AI (Maturity Eval)'!BL20)),'AI (Maturity Eval)'!BL20,"")</f>
        <v>Y</v>
      </c>
      <c r="Q10" s="219" t="str">
        <f>IF(NOT(ISBLANK('AI (Maturity Eval)'!BQ20)),'AI (Maturity Eval)'!BQ20,"")</f>
        <v>TBD</v>
      </c>
      <c r="R10" s="219" t="str">
        <f>IF(NOT(ISBLANK('AI (Maturity Eval)'!BV20)),'AI (Maturity Eval)'!BV20,"")</f>
        <v>N/A</v>
      </c>
      <c r="S10" s="219" t="str">
        <f>IF(NOT(ISBLANK('AI (Maturity Eval)'!CA20)),'AI (Maturity Eval)'!CA20,"")</f>
        <v>N/A</v>
      </c>
      <c r="T10" s="219" t="str">
        <f>IF(NOT(ISBLANK('AI (Maturity Eval)'!CF20)),'AI (Maturity Eval)'!CF20,"")</f>
        <v>N/A</v>
      </c>
    </row>
    <row r="11" spans="2:24" ht="15" customHeight="1">
      <c r="B11" s="13" t="s">
        <v>22</v>
      </c>
      <c r="C11" s="79" t="s">
        <v>28</v>
      </c>
      <c r="D11" s="197" t="str">
        <f>IF(NOT(ISBLANK('AI (Maturity Eval)'!D21)),'AI (Maturity Eval)'!D21,"")</f>
        <v>N/A</v>
      </c>
      <c r="E11" s="197" t="str">
        <f>IF(NOT(ISBLANK('AI (Maturity Eval)'!I21)),'AI (Maturity Eval)'!I21,"")</f>
        <v>Y</v>
      </c>
      <c r="F11" s="197" t="str">
        <f>IF(NOT(ISBLANK('AI (Maturity Eval)'!N21)),'AI (Maturity Eval)'!N21,"")</f>
        <v>Y</v>
      </c>
      <c r="G11" s="197" t="str">
        <f>IF(NOT(ISBLANK('AI (Maturity Eval)'!S21)),'AI (Maturity Eval)'!S21,"")</f>
        <v>Y</v>
      </c>
      <c r="H11" s="197" t="str">
        <f>IF(NOT(ISBLANK('AI (Maturity Eval)'!X21)),'AI (Maturity Eval)'!X21,"")</f>
        <v>Y</v>
      </c>
      <c r="I11" s="197" t="str">
        <f>IF(NOT(ISBLANK('AI (Maturity Eval)'!AC21)),'AI (Maturity Eval)'!AC21,"")</f>
        <v>Y</v>
      </c>
      <c r="J11" s="197" t="str">
        <f>IF(NOT(ISBLANK('AI (Maturity Eval)'!AH21)),'AI (Maturity Eval)'!AH21,"")</f>
        <v>N/A</v>
      </c>
      <c r="K11" s="197" t="str">
        <f>IF(NOT(ISBLANK('AI (Maturity Eval)'!AM21)),'AI (Maturity Eval)'!AM21,"")</f>
        <v>N/A</v>
      </c>
      <c r="L11" s="197" t="str">
        <f>IF(NOT(ISBLANK('AI (Maturity Eval)'!AR21)),'AI (Maturity Eval)'!AR21,"")</f>
        <v>Y</v>
      </c>
      <c r="M11" s="197" t="str">
        <f>IF(NOT(ISBLANK('AI (Maturity Eval)'!AW21)),'AI (Maturity Eval)'!AW21,"")</f>
        <v>N/A</v>
      </c>
      <c r="N11" s="197" t="str">
        <f>IF(NOT(ISBLANK('AI (Maturity Eval)'!BB21)),'AI (Maturity Eval)'!BB21,"")</f>
        <v>Y</v>
      </c>
      <c r="O11" s="197" t="str">
        <f>IF(NOT(ISBLANK('AI (Maturity Eval)'!BG21)),'AI (Maturity Eval)'!BG21,"")</f>
        <v>Y</v>
      </c>
      <c r="P11" s="197" t="str">
        <f>IF(NOT(ISBLANK('AI (Maturity Eval)'!BL21)),'AI (Maturity Eval)'!BL21,"")</f>
        <v>Y</v>
      </c>
      <c r="Q11" s="219" t="str">
        <f>IF(NOT(ISBLANK('AI (Maturity Eval)'!BQ21)),'AI (Maturity Eval)'!BQ21,"")</f>
        <v>TBD</v>
      </c>
      <c r="R11" s="219" t="str">
        <f>IF(NOT(ISBLANK('AI (Maturity Eval)'!BV21)),'AI (Maturity Eval)'!BV21,"")</f>
        <v>N/A</v>
      </c>
      <c r="S11" s="219" t="str">
        <f>IF(NOT(ISBLANK('AI (Maturity Eval)'!CA21)),'AI (Maturity Eval)'!CA21,"")</f>
        <v>N/A</v>
      </c>
      <c r="T11" s="219" t="str">
        <f>IF(NOT(ISBLANK('AI (Maturity Eval)'!CF21)),'AI (Maturity Eval)'!CF21,"")</f>
        <v>N/A</v>
      </c>
    </row>
    <row r="12" spans="2:24" ht="15" customHeight="1">
      <c r="B12" s="13" t="s">
        <v>22</v>
      </c>
      <c r="C12" s="79" t="s">
        <v>30</v>
      </c>
      <c r="D12" s="197" t="str">
        <f>IF(NOT(ISBLANK('AI (Maturity Eval)'!D22)),'AI (Maturity Eval)'!D22,"")</f>
        <v>N/A</v>
      </c>
      <c r="E12" s="197" t="str">
        <f>IF(NOT(ISBLANK('AI (Maturity Eval)'!I22)),'AI (Maturity Eval)'!I22,"")</f>
        <v>Y</v>
      </c>
      <c r="F12" s="197" t="str">
        <f>IF(NOT(ISBLANK('AI (Maturity Eval)'!N22)),'AI (Maturity Eval)'!N22,"")</f>
        <v>Y</v>
      </c>
      <c r="G12" s="197" t="str">
        <f>IF(NOT(ISBLANK('AI (Maturity Eval)'!S22)),'AI (Maturity Eval)'!S22,"")</f>
        <v>Y</v>
      </c>
      <c r="H12" s="197" t="str">
        <f>IF(NOT(ISBLANK('AI (Maturity Eval)'!X22)),'AI (Maturity Eval)'!X22,"")</f>
        <v>Y</v>
      </c>
      <c r="I12" s="197" t="str">
        <f>IF(NOT(ISBLANK('AI (Maturity Eval)'!AC22)),'AI (Maturity Eval)'!AC22,"")</f>
        <v>N</v>
      </c>
      <c r="J12" s="197" t="str">
        <f>IF(NOT(ISBLANK('AI (Maturity Eval)'!AH22)),'AI (Maturity Eval)'!AH22,"")</f>
        <v>N/A</v>
      </c>
      <c r="K12" s="197" t="str">
        <f>IF(NOT(ISBLANK('AI (Maturity Eval)'!AM22)),'AI (Maturity Eval)'!AM22,"")</f>
        <v>N/A</v>
      </c>
      <c r="L12" s="197" t="str">
        <f>IF(NOT(ISBLANK('AI (Maturity Eval)'!AR22)),'AI (Maturity Eval)'!AR22,"")</f>
        <v>Y</v>
      </c>
      <c r="M12" s="197" t="str">
        <f>IF(NOT(ISBLANK('AI (Maturity Eval)'!AW22)),'AI (Maturity Eval)'!AW22,"")</f>
        <v>N/A</v>
      </c>
      <c r="N12" s="197" t="str">
        <f>IF(NOT(ISBLANK('AI (Maturity Eval)'!BB22)),'AI (Maturity Eval)'!BB22,"")</f>
        <v>Y</v>
      </c>
      <c r="O12" s="197" t="str">
        <f>IF(NOT(ISBLANK('AI (Maturity Eval)'!BG22)),'AI (Maturity Eval)'!BG22,"")</f>
        <v>Y</v>
      </c>
      <c r="P12" s="197" t="str">
        <f>IF(NOT(ISBLANK('AI (Maturity Eval)'!BL22)),'AI (Maturity Eval)'!BL22,"")</f>
        <v>Y</v>
      </c>
      <c r="Q12" s="219" t="str">
        <f>IF(NOT(ISBLANK('AI (Maturity Eval)'!BQ22)),'AI (Maturity Eval)'!BQ22,"")</f>
        <v>TBD</v>
      </c>
      <c r="R12" s="219" t="str">
        <f>IF(NOT(ISBLANK('AI (Maturity Eval)'!BV22)),'AI (Maturity Eval)'!BV22,"")</f>
        <v>N/A</v>
      </c>
      <c r="S12" s="219" t="str">
        <f>IF(NOT(ISBLANK('AI (Maturity Eval)'!CA22)),'AI (Maturity Eval)'!CA22,"")</f>
        <v>N/A</v>
      </c>
      <c r="T12" s="219" t="str">
        <f>IF(NOT(ISBLANK('AI (Maturity Eval)'!CF22)),'AI (Maturity Eval)'!CF22,"")</f>
        <v>N/A</v>
      </c>
    </row>
    <row r="13" spans="2:24" ht="15" customHeight="1">
      <c r="B13" s="13" t="s">
        <v>22</v>
      </c>
      <c r="C13" s="42" t="s">
        <v>32</v>
      </c>
      <c r="D13" s="197" t="str">
        <f>IF(NOT(ISBLANK('AI (Maturity Eval)'!D23)),'AI (Maturity Eval)'!D23,"")</f>
        <v>N/A</v>
      </c>
      <c r="E13" s="197" t="str">
        <f>IF(NOT(ISBLANK('AI (Maturity Eval)'!I23)),'AI (Maturity Eval)'!I23,"")</f>
        <v>Y</v>
      </c>
      <c r="F13" s="197" t="str">
        <f>IF(NOT(ISBLANK('AI (Maturity Eval)'!N23)),'AI (Maturity Eval)'!N23,"")</f>
        <v>Partial</v>
      </c>
      <c r="G13" s="197" t="str">
        <f>IF(NOT(ISBLANK('AI (Maturity Eval)'!S23)),'AI (Maturity Eval)'!S23,"")</f>
        <v>Y</v>
      </c>
      <c r="H13" s="197" t="str">
        <f>IF(NOT(ISBLANK('AI (Maturity Eval)'!X23)),'AI (Maturity Eval)'!X23,"")</f>
        <v>Y</v>
      </c>
      <c r="I13" s="197" t="str">
        <f>IF(NOT(ISBLANK('AI (Maturity Eval)'!AC23)),'AI (Maturity Eval)'!AC23,"")</f>
        <v>Y</v>
      </c>
      <c r="J13" s="197" t="str">
        <f>IF(NOT(ISBLANK('AI (Maturity Eval)'!AH23)),'AI (Maturity Eval)'!AH23,"")</f>
        <v>Y</v>
      </c>
      <c r="K13" s="197" t="str">
        <f>IF(NOT(ISBLANK('AI (Maturity Eval)'!AM23)),'AI (Maturity Eval)'!AM23,"")</f>
        <v>Y</v>
      </c>
      <c r="L13" s="197" t="str">
        <f>IF(NOT(ISBLANK('AI (Maturity Eval)'!AR23)),'AI (Maturity Eval)'!AR23,"")</f>
        <v>Y</v>
      </c>
      <c r="M13" s="197" t="str">
        <f>IF(NOT(ISBLANK('AI (Maturity Eval)'!AW23)),'AI (Maturity Eval)'!AW23,"")</f>
        <v>N/A</v>
      </c>
      <c r="N13" s="197" t="str">
        <f>IF(NOT(ISBLANK('AI (Maturity Eval)'!BB23)),'AI (Maturity Eval)'!BB23,"")</f>
        <v>Y</v>
      </c>
      <c r="O13" s="197" t="str">
        <f>IF(NOT(ISBLANK('AI (Maturity Eval)'!BG23)),'AI (Maturity Eval)'!BG23,"")</f>
        <v>TBD</v>
      </c>
      <c r="P13" s="197" t="str">
        <f>IF(NOT(ISBLANK('AI (Maturity Eval)'!BL23)),'AI (Maturity Eval)'!BL23,"")</f>
        <v>Y</v>
      </c>
      <c r="Q13" s="219" t="str">
        <f>IF(NOT(ISBLANK('AI (Maturity Eval)'!BQ23)),'AI (Maturity Eval)'!BQ23,"")</f>
        <v>TBD</v>
      </c>
      <c r="R13" s="219" t="str">
        <f>IF(NOT(ISBLANK('AI (Maturity Eval)'!BV23)),'AI (Maturity Eval)'!BV23,"")</f>
        <v>N/A</v>
      </c>
      <c r="S13" s="219" t="str">
        <f>IF(NOT(ISBLANK('AI (Maturity Eval)'!CA23)),'AI (Maturity Eval)'!CA23,"")</f>
        <v>N/A</v>
      </c>
      <c r="T13" s="219" t="str">
        <f>IF(NOT(ISBLANK('AI (Maturity Eval)'!CF23)),'AI (Maturity Eval)'!CF23,"")</f>
        <v>N/A</v>
      </c>
    </row>
    <row r="14" spans="2:24" ht="15" customHeight="1">
      <c r="B14" s="35" t="s">
        <v>22</v>
      </c>
      <c r="C14" s="50" t="s">
        <v>34</v>
      </c>
      <c r="D14" s="197" t="str">
        <f>IF(NOT(ISBLANK('AI (Maturity Eval)'!D24)),'AI (Maturity Eval)'!D24,"")</f>
        <v>N/A</v>
      </c>
      <c r="E14" s="197" t="str">
        <f>IF(NOT(ISBLANK('AI (Maturity Eval)'!I24)),'AI (Maturity Eval)'!I24,"")</f>
        <v>Y</v>
      </c>
      <c r="F14" s="197" t="str">
        <f>IF(NOT(ISBLANK('AI (Maturity Eval)'!N24)),'AI (Maturity Eval)'!N24,"")</f>
        <v>Partial</v>
      </c>
      <c r="G14" s="197" t="str">
        <f>IF(NOT(ISBLANK('AI (Maturity Eval)'!S24)),'AI (Maturity Eval)'!S24,"")</f>
        <v>Y</v>
      </c>
      <c r="H14" s="197" t="str">
        <f>IF(NOT(ISBLANK('AI (Maturity Eval)'!X24)),'AI (Maturity Eval)'!X24,"")</f>
        <v>Y</v>
      </c>
      <c r="I14" s="197" t="str">
        <f>IF(NOT(ISBLANK('AI (Maturity Eval)'!AC24)),'AI (Maturity Eval)'!AC24,"")</f>
        <v>N</v>
      </c>
      <c r="J14" s="197" t="str">
        <f>IF(NOT(ISBLANK('AI (Maturity Eval)'!AH24)),'AI (Maturity Eval)'!AH24,"")</f>
        <v>N/A</v>
      </c>
      <c r="K14" s="197" t="str">
        <f>IF(NOT(ISBLANK('AI (Maturity Eval)'!AM24)),'AI (Maturity Eval)'!AM24,"")</f>
        <v>N/A</v>
      </c>
      <c r="L14" s="197" t="str">
        <f>IF(NOT(ISBLANK('AI (Maturity Eval)'!AR24)),'AI (Maturity Eval)'!AR24,"")</f>
        <v>Y</v>
      </c>
      <c r="M14" s="197" t="str">
        <f>IF(NOT(ISBLANK('AI (Maturity Eval)'!AW24)),'AI (Maturity Eval)'!AW24,"")</f>
        <v>N/A</v>
      </c>
      <c r="N14" s="197" t="str">
        <f>IF(NOT(ISBLANK('AI (Maturity Eval)'!BB24)),'AI (Maturity Eval)'!BB24,"")</f>
        <v>Y</v>
      </c>
      <c r="O14" s="197" t="str">
        <f>IF(NOT(ISBLANK('AI (Maturity Eval)'!BG24)),'AI (Maturity Eval)'!BG24,"")</f>
        <v>TBD</v>
      </c>
      <c r="P14" s="197" t="str">
        <f>IF(NOT(ISBLANK('AI (Maturity Eval)'!BL24)),'AI (Maturity Eval)'!BL24,"")</f>
        <v>Y</v>
      </c>
      <c r="Q14" s="219" t="str">
        <f>IF(NOT(ISBLANK('AI (Maturity Eval)'!BQ24)),'AI (Maturity Eval)'!BQ24,"")</f>
        <v>TBD</v>
      </c>
      <c r="R14" s="219" t="str">
        <f>IF(NOT(ISBLANK('AI (Maturity Eval)'!BV24)),'AI (Maturity Eval)'!BV24,"")</f>
        <v>N/A</v>
      </c>
      <c r="S14" s="219" t="str">
        <f>IF(NOT(ISBLANK('AI (Maturity Eval)'!CA24)),'AI (Maturity Eval)'!CA24,"")</f>
        <v>N/A</v>
      </c>
      <c r="T14" s="219" t="str">
        <f>IF(NOT(ISBLANK('AI (Maturity Eval)'!CF24)),'AI (Maturity Eval)'!CF24,"")</f>
        <v>N/A</v>
      </c>
    </row>
    <row r="15" spans="2:24" ht="15" customHeight="1">
      <c r="B15" s="35" t="s">
        <v>22</v>
      </c>
      <c r="C15" s="34" t="s">
        <v>36</v>
      </c>
      <c r="D15" s="197" t="str">
        <f>IF(NOT(ISBLANK('AI (Maturity Eval)'!D25)),'AI (Maturity Eval)'!D25,"")</f>
        <v>N/A</v>
      </c>
      <c r="E15" s="197" t="str">
        <f>IF(NOT(ISBLANK('AI (Maturity Eval)'!I25)),'AI (Maturity Eval)'!I25,"")</f>
        <v>Y</v>
      </c>
      <c r="F15" s="197" t="str">
        <f>IF(NOT(ISBLANK('AI (Maturity Eval)'!N25)),'AI (Maturity Eval)'!N25,"")</f>
        <v>Partial</v>
      </c>
      <c r="G15" s="197" t="str">
        <f>IF(NOT(ISBLANK('AI (Maturity Eval)'!S25)),'AI (Maturity Eval)'!S25,"")</f>
        <v>Partial</v>
      </c>
      <c r="H15" s="197" t="str">
        <f>IF(NOT(ISBLANK('AI (Maturity Eval)'!X25)),'AI (Maturity Eval)'!X25,"")</f>
        <v>Y</v>
      </c>
      <c r="I15" s="197" t="str">
        <f>IF(NOT(ISBLANK('AI (Maturity Eval)'!AC25)),'AI (Maturity Eval)'!AC25,"")</f>
        <v>N</v>
      </c>
      <c r="J15" s="197" t="str">
        <f>IF(NOT(ISBLANK('AI (Maturity Eval)'!AH25)),'AI (Maturity Eval)'!AH25,"")</f>
        <v>N/A</v>
      </c>
      <c r="K15" s="197" t="str">
        <f>IF(NOT(ISBLANK('AI (Maturity Eval)'!AM25)),'AI (Maturity Eval)'!AM25,"")</f>
        <v>N/A</v>
      </c>
      <c r="L15" s="197" t="str">
        <f>IF(NOT(ISBLANK('AI (Maturity Eval)'!AR25)),'AI (Maturity Eval)'!AR25,"")</f>
        <v>Y</v>
      </c>
      <c r="M15" s="197" t="str">
        <f>IF(NOT(ISBLANK('AI (Maturity Eval)'!AW25)),'AI (Maturity Eval)'!AW25,"")</f>
        <v>N/A</v>
      </c>
      <c r="N15" s="197" t="str">
        <f>IF(NOT(ISBLANK('AI (Maturity Eval)'!BB25)),'AI (Maturity Eval)'!BB25,"")</f>
        <v>Y</v>
      </c>
      <c r="O15" s="197" t="str">
        <f>IF(NOT(ISBLANK('AI (Maturity Eval)'!BG25)),'AI (Maturity Eval)'!BG25,"")</f>
        <v>TBD</v>
      </c>
      <c r="P15" s="197" t="str">
        <f>IF(NOT(ISBLANK('AI (Maturity Eval)'!BL25)),'AI (Maturity Eval)'!BL25,"")</f>
        <v>Y</v>
      </c>
      <c r="Q15" s="219" t="str">
        <f>IF(NOT(ISBLANK('AI (Maturity Eval)'!BQ25)),'AI (Maturity Eval)'!BQ25,"")</f>
        <v>TBD</v>
      </c>
      <c r="R15" s="219" t="str">
        <f>IF(NOT(ISBLANK('AI (Maturity Eval)'!BV25)),'AI (Maturity Eval)'!BV25,"")</f>
        <v>N/A</v>
      </c>
      <c r="S15" s="219" t="str">
        <f>IF(NOT(ISBLANK('AI (Maturity Eval)'!CA25)),'AI (Maturity Eval)'!CA25,"")</f>
        <v>N/A</v>
      </c>
      <c r="T15" s="219" t="str">
        <f>IF(NOT(ISBLANK('AI (Maturity Eval)'!CF25)),'AI (Maturity Eval)'!CF25,"")</f>
        <v>N/A</v>
      </c>
    </row>
    <row r="16" spans="2:24" ht="15" customHeight="1">
      <c r="B16" s="35" t="s">
        <v>38</v>
      </c>
      <c r="C16" s="34" t="s">
        <v>40</v>
      </c>
      <c r="D16" s="197" t="str">
        <f>IF(NOT(ISBLANK('AI (Maturity Eval)'!D26)),'AI (Maturity Eval)'!D26,"")</f>
        <v>Partial</v>
      </c>
      <c r="E16" s="197" t="str">
        <f>IF(NOT(ISBLANK('AI (Maturity Eval)'!I26)),'AI (Maturity Eval)'!I26,"")</f>
        <v>Y</v>
      </c>
      <c r="F16" s="197" t="str">
        <f>IF(NOT(ISBLANK('AI (Maturity Eval)'!N26)),'AI (Maturity Eval)'!N26,"")</f>
        <v>Partial</v>
      </c>
      <c r="G16" s="197" t="str">
        <f>IF(NOT(ISBLANK('AI (Maturity Eval)'!S26)),'AI (Maturity Eval)'!S26,"")</f>
        <v>Y</v>
      </c>
      <c r="H16" s="197" t="str">
        <f>IF(NOT(ISBLANK('AI (Maturity Eval)'!X26)),'AI (Maturity Eval)'!X26,"")</f>
        <v>Y</v>
      </c>
      <c r="I16" s="197" t="str">
        <f>IF(NOT(ISBLANK('AI (Maturity Eval)'!AC26)),'AI (Maturity Eval)'!AC26,"")</f>
        <v>N</v>
      </c>
      <c r="J16" s="197" t="str">
        <f>IF(NOT(ISBLANK('AI (Maturity Eval)'!AH26)),'AI (Maturity Eval)'!AH26,"")</f>
        <v>N/A</v>
      </c>
      <c r="K16" s="197" t="str">
        <f>IF(NOT(ISBLANK('AI (Maturity Eval)'!AM26)),'AI (Maturity Eval)'!AM26,"")</f>
        <v>N/A</v>
      </c>
      <c r="L16" s="197" t="str">
        <f>IF(NOT(ISBLANK('AI (Maturity Eval)'!AR26)),'AI (Maturity Eval)'!AR26,"")</f>
        <v>Y</v>
      </c>
      <c r="M16" s="197" t="str">
        <f>IF(NOT(ISBLANK('AI (Maturity Eval)'!AW26)),'AI (Maturity Eval)'!AW26,"")</f>
        <v>Y</v>
      </c>
      <c r="N16" s="197" t="str">
        <f>IF(NOT(ISBLANK('AI (Maturity Eval)'!BB26)),'AI (Maturity Eval)'!BB26,"")</f>
        <v>Y</v>
      </c>
      <c r="O16" s="197" t="str">
        <f>IF(NOT(ISBLANK('AI (Maturity Eval)'!BG26)),'AI (Maturity Eval)'!BG26,"")</f>
        <v>TBD</v>
      </c>
      <c r="P16" s="197" t="str">
        <f>IF(NOT(ISBLANK('AI (Maturity Eval)'!BL26)),'AI (Maturity Eval)'!BL26,"")</f>
        <v>Y</v>
      </c>
      <c r="Q16" s="219" t="str">
        <f>IF(NOT(ISBLANK('AI (Maturity Eval)'!BQ26)),'AI (Maturity Eval)'!BQ26,"")</f>
        <v>TBD</v>
      </c>
      <c r="R16" s="219" t="str">
        <f>IF(NOT(ISBLANK('AI (Maturity Eval)'!BV26)),'AI (Maturity Eval)'!BV26,"")</f>
        <v>N/A</v>
      </c>
      <c r="S16" s="219" t="str">
        <f>IF(NOT(ISBLANK('AI (Maturity Eval)'!CA26)),'AI (Maturity Eval)'!CA26,"")</f>
        <v>Y</v>
      </c>
      <c r="T16" s="219" t="str">
        <f>IF(NOT(ISBLANK('AI (Maturity Eval)'!CF26)),'AI (Maturity Eval)'!CF26,"")</f>
        <v>Y</v>
      </c>
    </row>
    <row r="17" spans="2:25" ht="15" customHeight="1">
      <c r="B17" s="35" t="s">
        <v>38</v>
      </c>
      <c r="C17" s="34" t="s">
        <v>42</v>
      </c>
      <c r="D17" s="197" t="str">
        <f>IF(NOT(ISBLANK('AI (Maturity Eval)'!D27)),'AI (Maturity Eval)'!D27,"")</f>
        <v>Partial</v>
      </c>
      <c r="E17" s="197" t="str">
        <f>IF(NOT(ISBLANK('AI (Maturity Eval)'!I27)),'AI (Maturity Eval)'!I27,"")</f>
        <v>Y</v>
      </c>
      <c r="F17" s="197" t="str">
        <f>IF(NOT(ISBLANK('AI (Maturity Eval)'!N27)),'AI (Maturity Eval)'!N27,"")</f>
        <v>Partial</v>
      </c>
      <c r="G17" s="197" t="str">
        <f>IF(NOT(ISBLANK('AI (Maturity Eval)'!S27)),'AI (Maturity Eval)'!S27,"")</f>
        <v>Y</v>
      </c>
      <c r="H17" s="197" t="str">
        <f>IF(NOT(ISBLANK('AI (Maturity Eval)'!X27)),'AI (Maturity Eval)'!X27,"")</f>
        <v>Y</v>
      </c>
      <c r="I17" s="197" t="str">
        <f>IF(NOT(ISBLANK('AI (Maturity Eval)'!AC27)),'AI (Maturity Eval)'!AC27,"")</f>
        <v>N</v>
      </c>
      <c r="J17" s="197" t="str">
        <f>IF(NOT(ISBLANK('AI (Maturity Eval)'!AH27)),'AI (Maturity Eval)'!AH27,"")</f>
        <v>N/A</v>
      </c>
      <c r="K17" s="197" t="str">
        <f>IF(NOT(ISBLANK('AI (Maturity Eval)'!AM27)),'AI (Maturity Eval)'!AM27,"")</f>
        <v>N/A</v>
      </c>
      <c r="L17" s="197" t="str">
        <f>IF(NOT(ISBLANK('AI (Maturity Eval)'!AR27)),'AI (Maturity Eval)'!AR27,"")</f>
        <v>Y</v>
      </c>
      <c r="M17" s="197" t="str">
        <f>IF(NOT(ISBLANK('AI (Maturity Eval)'!AW27)),'AI (Maturity Eval)'!AW27,"")</f>
        <v>Y</v>
      </c>
      <c r="N17" s="197" t="str">
        <f>IF(NOT(ISBLANK('AI (Maturity Eval)'!BB27)),'AI (Maturity Eval)'!BB27,"")</f>
        <v>Y</v>
      </c>
      <c r="O17" s="197" t="str">
        <f>IF(NOT(ISBLANK('AI (Maturity Eval)'!BG27)),'AI (Maturity Eval)'!BG27,"")</f>
        <v>TBD</v>
      </c>
      <c r="P17" s="197" t="str">
        <f>IF(NOT(ISBLANK('AI (Maturity Eval)'!BL27)),'AI (Maturity Eval)'!BL27,"")</f>
        <v>Y</v>
      </c>
      <c r="Q17" s="219" t="str">
        <f>IF(NOT(ISBLANK('AI (Maturity Eval)'!BQ27)),'AI (Maturity Eval)'!BQ27,"")</f>
        <v>TBD</v>
      </c>
      <c r="R17" s="219" t="str">
        <f>IF(NOT(ISBLANK('AI (Maturity Eval)'!BV27)),'AI (Maturity Eval)'!BV27,"")</f>
        <v>N/A</v>
      </c>
      <c r="S17" s="219" t="str">
        <f>IF(NOT(ISBLANK('AI (Maturity Eval)'!CA27)),'AI (Maturity Eval)'!CA27,"")</f>
        <v>Y</v>
      </c>
      <c r="T17" s="219" t="str">
        <f>IF(NOT(ISBLANK('AI (Maturity Eval)'!CF27)),'AI (Maturity Eval)'!CF27,"")</f>
        <v>Y</v>
      </c>
    </row>
    <row r="18" spans="2:25" ht="15" customHeight="1">
      <c r="B18" s="35" t="s">
        <v>38</v>
      </c>
      <c r="C18" s="34" t="s">
        <v>44</v>
      </c>
      <c r="D18" s="197" t="str">
        <f>IF(NOT(ISBLANK('AI (Maturity Eval)'!D28)),'AI (Maturity Eval)'!D28,"")</f>
        <v>Partial</v>
      </c>
      <c r="E18" s="197" t="str">
        <f>IF(NOT(ISBLANK('AI (Maturity Eval)'!I28)),'AI (Maturity Eval)'!I28,"")</f>
        <v>Y</v>
      </c>
      <c r="F18" s="197" t="str">
        <f>IF(NOT(ISBLANK('AI (Maturity Eval)'!N28)),'AI (Maturity Eval)'!N28,"")</f>
        <v>Partial</v>
      </c>
      <c r="G18" s="197" t="str">
        <f>IF(NOT(ISBLANK('AI (Maturity Eval)'!S28)),'AI (Maturity Eval)'!S28,"")</f>
        <v>Partial</v>
      </c>
      <c r="H18" s="197" t="str">
        <f>IF(NOT(ISBLANK('AI (Maturity Eval)'!X28)),'AI (Maturity Eval)'!X28,"")</f>
        <v>Y</v>
      </c>
      <c r="I18" s="197" t="str">
        <f>IF(NOT(ISBLANK('AI (Maturity Eval)'!AC28)),'AI (Maturity Eval)'!AC28,"")</f>
        <v>N</v>
      </c>
      <c r="J18" s="197" t="str">
        <f>IF(NOT(ISBLANK('AI (Maturity Eval)'!AH28)),'AI (Maturity Eval)'!AH28,"")</f>
        <v>Y</v>
      </c>
      <c r="K18" s="197" t="str">
        <f>IF(NOT(ISBLANK('AI (Maturity Eval)'!AM28)),'AI (Maturity Eval)'!AM28,"")</f>
        <v>Y</v>
      </c>
      <c r="L18" s="197" t="str">
        <f>IF(NOT(ISBLANK('AI (Maturity Eval)'!AR28)),'AI (Maturity Eval)'!AR28,"")</f>
        <v>Y</v>
      </c>
      <c r="M18" s="197" t="str">
        <f>IF(NOT(ISBLANK('AI (Maturity Eval)'!AW28)),'AI (Maturity Eval)'!AW28,"")</f>
        <v>Y</v>
      </c>
      <c r="N18" s="197" t="str">
        <f>IF(NOT(ISBLANK('AI (Maturity Eval)'!BB28)),'AI (Maturity Eval)'!BB28,"")</f>
        <v>Y</v>
      </c>
      <c r="O18" s="197" t="str">
        <f>IF(NOT(ISBLANK('AI (Maturity Eval)'!BG28)),'AI (Maturity Eval)'!BG28,"")</f>
        <v>TBD</v>
      </c>
      <c r="P18" s="197" t="str">
        <f>IF(NOT(ISBLANK('AI (Maturity Eval)'!BL28)),'AI (Maturity Eval)'!BL28,"")</f>
        <v>Y</v>
      </c>
      <c r="Q18" s="219" t="str">
        <f>IF(NOT(ISBLANK('AI (Maturity Eval)'!BQ28)),'AI (Maturity Eval)'!BQ28,"")</f>
        <v>TBD</v>
      </c>
      <c r="R18" s="219" t="str">
        <f>IF(NOT(ISBLANK('AI (Maturity Eval)'!BV28)),'AI (Maturity Eval)'!BV28,"")</f>
        <v>N/A</v>
      </c>
      <c r="S18" s="219" t="str">
        <f>IF(NOT(ISBLANK('AI (Maturity Eval)'!CA28)),'AI (Maturity Eval)'!CA28,"")</f>
        <v>N</v>
      </c>
      <c r="T18" s="219" t="str">
        <f>IF(NOT(ISBLANK('AI (Maturity Eval)'!CF28)),'AI (Maturity Eval)'!CF28,"")</f>
        <v>N</v>
      </c>
    </row>
    <row r="19" spans="2:25" ht="15" customHeight="1">
      <c r="B19" s="35" t="s">
        <v>38</v>
      </c>
      <c r="C19" s="34" t="s">
        <v>46</v>
      </c>
      <c r="D19" s="197" t="str">
        <f>IF(NOT(ISBLANK('AI (Maturity Eval)'!D29)),'AI (Maturity Eval)'!D29,"")</f>
        <v>Partial</v>
      </c>
      <c r="E19" s="197" t="str">
        <f>IF(NOT(ISBLANK('AI (Maturity Eval)'!I29)),'AI (Maturity Eval)'!I29,"")</f>
        <v>Y</v>
      </c>
      <c r="F19" s="197" t="str">
        <f>IF(NOT(ISBLANK('AI (Maturity Eval)'!N29)),'AI (Maturity Eval)'!N29,"")</f>
        <v>Partial</v>
      </c>
      <c r="G19" s="197" t="str">
        <f>IF(NOT(ISBLANK('AI (Maturity Eval)'!S29)),'AI (Maturity Eval)'!S29,"")</f>
        <v>NA</v>
      </c>
      <c r="H19" s="197" t="str">
        <f>IF(NOT(ISBLANK('AI (Maturity Eval)'!X29)),'AI (Maturity Eval)'!X29,"")</f>
        <v>Y</v>
      </c>
      <c r="I19" s="197" t="str">
        <f>IF(NOT(ISBLANK('AI (Maturity Eval)'!AC29)),'AI (Maturity Eval)'!AC29,"")</f>
        <v>N</v>
      </c>
      <c r="J19" s="197" t="str">
        <f>IF(NOT(ISBLANK('AI (Maturity Eval)'!AH29)),'AI (Maturity Eval)'!AH29,"")</f>
        <v>N/A</v>
      </c>
      <c r="K19" s="197" t="str">
        <f>IF(NOT(ISBLANK('AI (Maturity Eval)'!AM29)),'AI (Maturity Eval)'!AM29,"")</f>
        <v>N/A</v>
      </c>
      <c r="L19" s="197" t="str">
        <f>IF(NOT(ISBLANK('AI (Maturity Eval)'!AR29)),'AI (Maturity Eval)'!AR29,"")</f>
        <v>Y</v>
      </c>
      <c r="M19" s="197" t="str">
        <f>IF(NOT(ISBLANK('AI (Maturity Eval)'!AW29)),'AI (Maturity Eval)'!AW29,"")</f>
        <v>Y</v>
      </c>
      <c r="N19" s="197" t="str">
        <f>IF(NOT(ISBLANK('AI (Maturity Eval)'!BB29)),'AI (Maturity Eval)'!BB29,"")</f>
        <v>Y</v>
      </c>
      <c r="O19" s="197" t="str">
        <f>IF(NOT(ISBLANK('AI (Maturity Eval)'!BG29)),'AI (Maturity Eval)'!BG29,"")</f>
        <v>TBD</v>
      </c>
      <c r="P19" s="197" t="str">
        <f>IF(NOT(ISBLANK('AI (Maturity Eval)'!BL29)),'AI (Maturity Eval)'!BL29,"")</f>
        <v>Y</v>
      </c>
      <c r="Q19" s="219" t="str">
        <f>IF(NOT(ISBLANK('AI (Maturity Eval)'!BQ29)),'AI (Maturity Eval)'!BQ29,"")</f>
        <v>TBD</v>
      </c>
      <c r="R19" s="219" t="str">
        <f>IF(NOT(ISBLANK('AI (Maturity Eval)'!BV29)),'AI (Maturity Eval)'!BV29,"")</f>
        <v>N/A</v>
      </c>
      <c r="S19" s="219" t="str">
        <f>IF(NOT(ISBLANK('AI (Maturity Eval)'!CA29)),'AI (Maturity Eval)'!CA29,"")</f>
        <v>Y</v>
      </c>
      <c r="T19" s="219" t="str">
        <f>IF(NOT(ISBLANK('AI (Maturity Eval)'!CF29)),'AI (Maturity Eval)'!CF29,"")</f>
        <v>Y</v>
      </c>
    </row>
    <row r="20" spans="2:25" ht="15" customHeight="1">
      <c r="B20" s="35" t="s">
        <v>38</v>
      </c>
      <c r="C20" s="34" t="s">
        <v>48</v>
      </c>
      <c r="D20" s="197" t="str">
        <f>IF(NOT(ISBLANK('AI (Maturity Eval)'!D30)),'AI (Maturity Eval)'!D30,"")</f>
        <v>Partial</v>
      </c>
      <c r="E20" s="197" t="str">
        <f>IF(NOT(ISBLANK('AI (Maturity Eval)'!I30)),'AI (Maturity Eval)'!I30,"")</f>
        <v>N</v>
      </c>
      <c r="F20" s="197" t="str">
        <f>IF(NOT(ISBLANK('AI (Maturity Eval)'!N30)),'AI (Maturity Eval)'!N30,"")</f>
        <v>Partial</v>
      </c>
      <c r="G20" s="197" t="str">
        <f>IF(NOT(ISBLANK('AI (Maturity Eval)'!S30)),'AI (Maturity Eval)'!S30,"")</f>
        <v>Partial</v>
      </c>
      <c r="H20" s="197" t="str">
        <f>IF(NOT(ISBLANK('AI (Maturity Eval)'!X30)),'AI (Maturity Eval)'!X30,"")</f>
        <v>Y</v>
      </c>
      <c r="I20" s="197" t="str">
        <f>IF(NOT(ISBLANK('AI (Maturity Eval)'!AC30)),'AI (Maturity Eval)'!AC30,"")</f>
        <v>N</v>
      </c>
      <c r="J20" s="197" t="str">
        <f>IF(NOT(ISBLANK('AI (Maturity Eval)'!AH30)),'AI (Maturity Eval)'!AH30,"")</f>
        <v>N/A</v>
      </c>
      <c r="K20" s="197" t="str">
        <f>IF(NOT(ISBLANK('AI (Maturity Eval)'!AM30)),'AI (Maturity Eval)'!AM30,"")</f>
        <v>N/A</v>
      </c>
      <c r="L20" s="197" t="str">
        <f>IF(NOT(ISBLANK('AI (Maturity Eval)'!AR30)),'AI (Maturity Eval)'!AR30,"")</f>
        <v>Y</v>
      </c>
      <c r="M20" s="197" t="str">
        <f>IF(NOT(ISBLANK('AI (Maturity Eval)'!AW30)),'AI (Maturity Eval)'!AW30,"")</f>
        <v>Y</v>
      </c>
      <c r="N20" s="197" t="str">
        <f>IF(NOT(ISBLANK('AI (Maturity Eval)'!BB30)),'AI (Maturity Eval)'!BB30,"")</f>
        <v>Y</v>
      </c>
      <c r="O20" s="197" t="str">
        <f>IF(NOT(ISBLANK('AI (Maturity Eval)'!BG30)),'AI (Maturity Eval)'!BG30,"")</f>
        <v>TBD</v>
      </c>
      <c r="P20" s="197" t="str">
        <f>IF(NOT(ISBLANK('AI (Maturity Eval)'!BL30)),'AI (Maturity Eval)'!BL30,"")</f>
        <v>Partial</v>
      </c>
      <c r="Q20" s="219" t="str">
        <f>IF(NOT(ISBLANK('AI (Maturity Eval)'!BQ30)),'AI (Maturity Eval)'!BQ30,"")</f>
        <v>TBD</v>
      </c>
      <c r="R20" s="219" t="str">
        <f>IF(NOT(ISBLANK('AI (Maturity Eval)'!BV30)),'AI (Maturity Eval)'!BV30,"")</f>
        <v>N/A</v>
      </c>
      <c r="S20" s="219" t="str">
        <f>IF(NOT(ISBLANK('AI (Maturity Eval)'!CA30)),'AI (Maturity Eval)'!CA30,"")</f>
        <v>Y</v>
      </c>
      <c r="T20" s="219" t="str">
        <f>IF(NOT(ISBLANK('AI (Maturity Eval)'!CF30)),'AI (Maturity Eval)'!CF30,"")</f>
        <v>N</v>
      </c>
    </row>
    <row r="21" spans="2:25" ht="15" customHeight="1">
      <c r="B21" s="35" t="s">
        <v>38</v>
      </c>
      <c r="C21" s="34" t="s">
        <v>50</v>
      </c>
      <c r="D21" s="197" t="str">
        <f>IF(NOT(ISBLANK('AI (Maturity Eval)'!D31)),'AI (Maturity Eval)'!D31,"")</f>
        <v>Partial</v>
      </c>
      <c r="E21" s="197" t="str">
        <f>IF(NOT(ISBLANK('AI (Maturity Eval)'!I31)),'AI (Maturity Eval)'!I31,"")</f>
        <v>Y</v>
      </c>
      <c r="F21" s="197" t="str">
        <f>IF(NOT(ISBLANK('AI (Maturity Eval)'!N31)),'AI (Maturity Eval)'!N31,"")</f>
        <v>Partial</v>
      </c>
      <c r="G21" s="197" t="str">
        <f>IF(NOT(ISBLANK('AI (Maturity Eval)'!S31)),'AI (Maturity Eval)'!S31,"")</f>
        <v>Partial</v>
      </c>
      <c r="H21" s="197" t="str">
        <f>IF(NOT(ISBLANK('AI (Maturity Eval)'!X31)),'AI (Maturity Eval)'!X31,"")</f>
        <v>Y</v>
      </c>
      <c r="I21" s="197" t="str">
        <f>IF(NOT(ISBLANK('AI (Maturity Eval)'!AC31)),'AI (Maturity Eval)'!AC31,"")</f>
        <v>N</v>
      </c>
      <c r="J21" s="197" t="str">
        <f>IF(NOT(ISBLANK('AI (Maturity Eval)'!AH31)),'AI (Maturity Eval)'!AH31,"")</f>
        <v>N</v>
      </c>
      <c r="K21" s="197" t="str">
        <f>IF(NOT(ISBLANK('AI (Maturity Eval)'!AM31)),'AI (Maturity Eval)'!AM31,"")</f>
        <v>N</v>
      </c>
      <c r="L21" s="197" t="str">
        <f>IF(NOT(ISBLANK('AI (Maturity Eval)'!AR31)),'AI (Maturity Eval)'!AR31,"")</f>
        <v>Y</v>
      </c>
      <c r="M21" s="197" t="str">
        <f>IF(NOT(ISBLANK('AI (Maturity Eval)'!AW31)),'AI (Maturity Eval)'!AW31,"")</f>
        <v>Y</v>
      </c>
      <c r="N21" s="197" t="str">
        <f>IF(NOT(ISBLANK('AI (Maturity Eval)'!BB31)),'AI (Maturity Eval)'!BB31,"")</f>
        <v>Y</v>
      </c>
      <c r="O21" s="197" t="str">
        <f>IF(NOT(ISBLANK('AI (Maturity Eval)'!BG31)),'AI (Maturity Eval)'!BG31,"")</f>
        <v>TBD</v>
      </c>
      <c r="P21" s="197" t="str">
        <f>IF(NOT(ISBLANK('AI (Maturity Eval)'!BL31)),'AI (Maturity Eval)'!BL31,"")</f>
        <v>Partial</v>
      </c>
      <c r="Q21" s="219" t="str">
        <f>IF(NOT(ISBLANK('AI (Maturity Eval)'!BQ31)),'AI (Maturity Eval)'!BQ31,"")</f>
        <v>TBD</v>
      </c>
      <c r="R21" s="219" t="str">
        <f>IF(NOT(ISBLANK('AI (Maturity Eval)'!BV31)),'AI (Maturity Eval)'!BV31,"")</f>
        <v>N/A</v>
      </c>
      <c r="S21" s="219" t="str">
        <f>IF(NOT(ISBLANK('AI (Maturity Eval)'!CA31)),'AI (Maturity Eval)'!CA31,"")</f>
        <v>Y</v>
      </c>
      <c r="T21" s="219" t="str">
        <f>IF(NOT(ISBLANK('AI (Maturity Eval)'!CF31)),'AI (Maturity Eval)'!CF31,"")</f>
        <v>N</v>
      </c>
    </row>
    <row r="22" spans="2:25" ht="15" customHeight="1">
      <c r="B22" s="35" t="s">
        <v>38</v>
      </c>
      <c r="C22" s="34" t="s">
        <v>52</v>
      </c>
      <c r="D22" s="197" t="str">
        <f>IF(NOT(ISBLANK('AI (Maturity Eval)'!D32)),'AI (Maturity Eval)'!D32,"")</f>
        <v>Partial</v>
      </c>
      <c r="E22" s="197" t="str">
        <f>IF(NOT(ISBLANK('AI (Maturity Eval)'!I32)),'AI (Maturity Eval)'!I32,"")</f>
        <v>N</v>
      </c>
      <c r="F22" s="197" t="str">
        <f>IF(NOT(ISBLANK('AI (Maturity Eval)'!N32)),'AI (Maturity Eval)'!N32,"")</f>
        <v>Partial</v>
      </c>
      <c r="G22" s="197" t="str">
        <f>IF(NOT(ISBLANK('AI (Maturity Eval)'!S32)),'AI (Maturity Eval)'!S32,"")</f>
        <v>Partial</v>
      </c>
      <c r="H22" s="197" t="str">
        <f>IF(NOT(ISBLANK('AI (Maturity Eval)'!X32)),'AI (Maturity Eval)'!X32,"")</f>
        <v>Y</v>
      </c>
      <c r="I22" s="197" t="str">
        <f>IF(NOT(ISBLANK('AI (Maturity Eval)'!AC32)),'AI (Maturity Eval)'!AC32,"")</f>
        <v>N</v>
      </c>
      <c r="J22" s="197" t="str">
        <f>IF(NOT(ISBLANK('AI (Maturity Eval)'!AH32)),'AI (Maturity Eval)'!AH32,"")</f>
        <v>N</v>
      </c>
      <c r="K22" s="197" t="str">
        <f>IF(NOT(ISBLANK('AI (Maturity Eval)'!AM32)),'AI (Maturity Eval)'!AM32,"")</f>
        <v>N</v>
      </c>
      <c r="L22" s="197" t="str">
        <f>IF(NOT(ISBLANK('AI (Maturity Eval)'!AR32)),'AI (Maturity Eval)'!AR32,"")</f>
        <v>Y</v>
      </c>
      <c r="M22" s="197" t="str">
        <f>IF(NOT(ISBLANK('AI (Maturity Eval)'!AW32)),'AI (Maturity Eval)'!AW32,"")</f>
        <v>Y</v>
      </c>
      <c r="N22" s="197" t="str">
        <f>IF(NOT(ISBLANK('AI (Maturity Eval)'!BB32)),'AI (Maturity Eval)'!BB32,"")</f>
        <v>Y</v>
      </c>
      <c r="O22" s="197" t="str">
        <f>IF(NOT(ISBLANK('AI (Maturity Eval)'!BG32)),'AI (Maturity Eval)'!BG32,"")</f>
        <v>TBD</v>
      </c>
      <c r="P22" s="197" t="str">
        <f>IF(NOT(ISBLANK('AI (Maturity Eval)'!BL32)),'AI (Maturity Eval)'!BL32,"")</f>
        <v>Partial</v>
      </c>
      <c r="Q22" s="219" t="str">
        <f>IF(NOT(ISBLANK('AI (Maturity Eval)'!BQ32)),'AI (Maturity Eval)'!BQ32,"")</f>
        <v>TBD</v>
      </c>
      <c r="R22" s="219" t="str">
        <f>IF(NOT(ISBLANK('AI (Maturity Eval)'!BV32)),'AI (Maturity Eval)'!BV32,"")</f>
        <v>N/A</v>
      </c>
      <c r="S22" s="219" t="str">
        <f>IF(NOT(ISBLANK('AI (Maturity Eval)'!CA32)),'AI (Maturity Eval)'!CA32,"")</f>
        <v>Y</v>
      </c>
      <c r="T22" s="219" t="str">
        <f>IF(NOT(ISBLANK('AI (Maturity Eval)'!CF32)),'AI (Maturity Eval)'!CF32,"")</f>
        <v>N</v>
      </c>
    </row>
    <row r="23" spans="2:25" ht="15" customHeight="1">
      <c r="B23" s="35" t="s">
        <v>54</v>
      </c>
      <c r="C23" s="42" t="s">
        <v>56</v>
      </c>
      <c r="D23" s="197" t="str">
        <f>IF(NOT(ISBLANK('AI (Maturity Eval)'!D33)),'AI (Maturity Eval)'!D33,"")</f>
        <v>Partial</v>
      </c>
      <c r="E23" s="197" t="str">
        <f>IF(NOT(ISBLANK('AI (Maturity Eval)'!I33)),'AI (Maturity Eval)'!I33,"")</f>
        <v>Partial</v>
      </c>
      <c r="F23" s="197" t="str">
        <f>IF(NOT(ISBLANK('AI (Maturity Eval)'!N33)),'AI (Maturity Eval)'!N33,"")</f>
        <v>Partial</v>
      </c>
      <c r="G23" s="197" t="str">
        <f>IF(NOT(ISBLANK('AI (Maturity Eval)'!S33)),'AI (Maturity Eval)'!S33,"")</f>
        <v>Partial</v>
      </c>
      <c r="H23" s="197" t="str">
        <f>IF(NOT(ISBLANK('AI (Maturity Eval)'!X33)),'AI (Maturity Eval)'!X33,"")</f>
        <v>Y</v>
      </c>
      <c r="I23" s="197" t="str">
        <f>IF(NOT(ISBLANK('AI (Maturity Eval)'!AC33)),'AI (Maturity Eval)'!AC33,"")</f>
        <v>Y</v>
      </c>
      <c r="J23" s="197" t="str">
        <f>IF(NOT(ISBLANK('AI (Maturity Eval)'!AH33)),'AI (Maturity Eval)'!AH33,"")</f>
        <v>Y</v>
      </c>
      <c r="K23" s="197" t="str">
        <f>IF(NOT(ISBLANK('AI (Maturity Eval)'!AM33)),'AI (Maturity Eval)'!AM33,"")</f>
        <v>Y</v>
      </c>
      <c r="L23" s="197" t="str">
        <f>IF(NOT(ISBLANK('AI (Maturity Eval)'!AR33)),'AI (Maturity Eval)'!AR33,"")</f>
        <v>Y</v>
      </c>
      <c r="M23" s="197" t="str">
        <f>IF(NOT(ISBLANK('AI (Maturity Eval)'!AW33)),'AI (Maturity Eval)'!AW33,"")</f>
        <v>Y</v>
      </c>
      <c r="N23" s="197" t="str">
        <f>IF(NOT(ISBLANK('AI (Maturity Eval)'!BB33)),'AI (Maturity Eval)'!BB33,"")</f>
        <v>Y</v>
      </c>
      <c r="O23" s="197" t="str">
        <f>IF(NOT(ISBLANK('AI (Maturity Eval)'!BG33)),'AI (Maturity Eval)'!BG33,"")</f>
        <v>Y</v>
      </c>
      <c r="P23" s="197" t="str">
        <f>IF(NOT(ISBLANK('AI (Maturity Eval)'!BL33)),'AI (Maturity Eval)'!BL33,"")</f>
        <v>Y</v>
      </c>
      <c r="Q23" s="219" t="str">
        <f>IF(NOT(ISBLANK('AI (Maturity Eval)'!BQ33)),'AI (Maturity Eval)'!BQ33,"")</f>
        <v>TBD</v>
      </c>
      <c r="R23" s="219" t="str">
        <f>IF(NOT(ISBLANK('AI (Maturity Eval)'!BV33)),'AI (Maturity Eval)'!BV33,"")</f>
        <v>N/A</v>
      </c>
      <c r="S23" s="219" t="str">
        <f>IF(NOT(ISBLANK('AI (Maturity Eval)'!CA33)),'AI (Maturity Eval)'!CA33,"")</f>
        <v>Y</v>
      </c>
      <c r="T23" s="219" t="str">
        <f>IF(NOT(ISBLANK('AI (Maturity Eval)'!CF33)),'AI (Maturity Eval)'!CF33,"")</f>
        <v>Y</v>
      </c>
    </row>
    <row r="24" spans="2:25" ht="15" customHeight="1">
      <c r="B24" s="35" t="s">
        <v>54</v>
      </c>
      <c r="C24" s="42" t="s">
        <v>58</v>
      </c>
      <c r="D24" s="197" t="str">
        <f>IF(NOT(ISBLANK('AI (Maturity Eval)'!D34)),'AI (Maturity Eval)'!D34,"")</f>
        <v>Partial</v>
      </c>
      <c r="E24" s="197" t="str">
        <f>IF(NOT(ISBLANK('AI (Maturity Eval)'!I34)),'AI (Maturity Eval)'!I34,"")</f>
        <v>Partial</v>
      </c>
      <c r="F24" s="197" t="str">
        <f>IF(NOT(ISBLANK('AI (Maturity Eval)'!N34)),'AI (Maturity Eval)'!N34,"")</f>
        <v>Partial</v>
      </c>
      <c r="G24" s="197" t="str">
        <f>IF(NOT(ISBLANK('AI (Maturity Eval)'!S34)),'AI (Maturity Eval)'!S34,"")</f>
        <v>Partial</v>
      </c>
      <c r="H24" s="197" t="str">
        <f>IF(NOT(ISBLANK('AI (Maturity Eval)'!X34)),'AI (Maturity Eval)'!X34,"")</f>
        <v>Y</v>
      </c>
      <c r="I24" s="197" t="str">
        <f>IF(NOT(ISBLANK('AI (Maturity Eval)'!AC34)),'AI (Maturity Eval)'!AC34,"")</f>
        <v>Y</v>
      </c>
      <c r="J24" s="197" t="str">
        <f>IF(NOT(ISBLANK('AI (Maturity Eval)'!AH34)),'AI (Maturity Eval)'!AH34,"")</f>
        <v>Y</v>
      </c>
      <c r="K24" s="197" t="str">
        <f>IF(NOT(ISBLANK('AI (Maturity Eval)'!AM34)),'AI (Maturity Eval)'!AM34,"")</f>
        <v>Y</v>
      </c>
      <c r="L24" s="197" t="str">
        <f>IF(NOT(ISBLANK('AI (Maturity Eval)'!AR34)),'AI (Maturity Eval)'!AR34,"")</f>
        <v>Y</v>
      </c>
      <c r="M24" s="197" t="str">
        <f>IF(NOT(ISBLANK('AI (Maturity Eval)'!AW34)),'AI (Maturity Eval)'!AW34,"")</f>
        <v>Y</v>
      </c>
      <c r="N24" s="197" t="str">
        <f>IF(NOT(ISBLANK('AI (Maturity Eval)'!BB34)),'AI (Maturity Eval)'!BB34,"")</f>
        <v>Y</v>
      </c>
      <c r="O24" s="197" t="str">
        <f>IF(NOT(ISBLANK('AI (Maturity Eval)'!BG34)),'AI (Maturity Eval)'!BG34,"")</f>
        <v>Y</v>
      </c>
      <c r="P24" s="197" t="str">
        <f>IF(NOT(ISBLANK('AI (Maturity Eval)'!BL34)),'AI (Maturity Eval)'!BL34,"")</f>
        <v>Y</v>
      </c>
      <c r="Q24" s="219" t="str">
        <f>IF(NOT(ISBLANK('AI (Maturity Eval)'!BQ34)),'AI (Maturity Eval)'!BQ34,"")</f>
        <v>TBD</v>
      </c>
      <c r="R24" s="219" t="str">
        <f>IF(NOT(ISBLANK('AI (Maturity Eval)'!BV34)),'AI (Maturity Eval)'!BV34,"")</f>
        <v>N/A</v>
      </c>
      <c r="S24" s="219" t="str">
        <f>IF(NOT(ISBLANK('AI (Maturity Eval)'!CA34)),'AI (Maturity Eval)'!CA34,"")</f>
        <v>Y</v>
      </c>
      <c r="T24" s="219" t="str">
        <f>IF(NOT(ISBLANK('AI (Maturity Eval)'!CF34)),'AI (Maturity Eval)'!CF34,"")</f>
        <v>Y</v>
      </c>
    </row>
    <row r="25" spans="2:25" ht="15" customHeight="1">
      <c r="B25" s="35" t="s">
        <v>54</v>
      </c>
      <c r="C25" s="42" t="s">
        <v>60</v>
      </c>
      <c r="D25" s="197" t="str">
        <f>IF(NOT(ISBLANK('AI (Maturity Eval)'!D35)),'AI (Maturity Eval)'!D35,"")</f>
        <v>Partial</v>
      </c>
      <c r="E25" s="197" t="str">
        <f>IF(NOT(ISBLANK('AI (Maturity Eval)'!I35)),'AI (Maturity Eval)'!I35,"")</f>
        <v>N</v>
      </c>
      <c r="F25" s="197" t="str">
        <f>IF(NOT(ISBLANK('AI (Maturity Eval)'!N35)),'AI (Maturity Eval)'!N35,"")</f>
        <v>N</v>
      </c>
      <c r="G25" s="197" t="str">
        <f>IF(NOT(ISBLANK('AI (Maturity Eval)'!S35)),'AI (Maturity Eval)'!S35,"")</f>
        <v>N</v>
      </c>
      <c r="H25" s="197" t="str">
        <f>IF(NOT(ISBLANK('AI (Maturity Eval)'!X35)),'AI (Maturity Eval)'!X35,"")</f>
        <v>Y</v>
      </c>
      <c r="I25" s="197" t="str">
        <f>IF(NOT(ISBLANK('AI (Maturity Eval)'!AC35)),'AI (Maturity Eval)'!AC35,"")</f>
        <v>Y</v>
      </c>
      <c r="J25" s="197" t="str">
        <f>IF(NOT(ISBLANK('AI (Maturity Eval)'!AH35)),'AI (Maturity Eval)'!AH35,"")</f>
        <v>Y</v>
      </c>
      <c r="K25" s="197" t="str">
        <f>IF(NOT(ISBLANK('AI (Maturity Eval)'!AM35)),'AI (Maturity Eval)'!AM35,"")</f>
        <v>Y</v>
      </c>
      <c r="L25" s="197" t="str">
        <f>IF(NOT(ISBLANK('AI (Maturity Eval)'!AR35)),'AI (Maturity Eval)'!AR35,"")</f>
        <v>N</v>
      </c>
      <c r="M25" s="197" t="str">
        <f>IF(NOT(ISBLANK('AI (Maturity Eval)'!AW35)),'AI (Maturity Eval)'!AW35,"")</f>
        <v>Y</v>
      </c>
      <c r="N25" s="197" t="str">
        <f>IF(NOT(ISBLANK('AI (Maturity Eval)'!BB35)),'AI (Maturity Eval)'!BB35,"")</f>
        <v>Y</v>
      </c>
      <c r="O25" s="197" t="str">
        <f>IF(NOT(ISBLANK('AI (Maturity Eval)'!BG35)),'AI (Maturity Eval)'!BG35,"")</f>
        <v>TBD</v>
      </c>
      <c r="P25" s="197" t="str">
        <f>IF(NOT(ISBLANK('AI (Maturity Eval)'!BL35)),'AI (Maturity Eval)'!BL35,"")</f>
        <v>Y</v>
      </c>
      <c r="Q25" s="219" t="str">
        <f>IF(NOT(ISBLANK('AI (Maturity Eval)'!BQ35)),'AI (Maturity Eval)'!BQ35,"")</f>
        <v>TBD</v>
      </c>
      <c r="R25" s="219" t="str">
        <f>IF(NOT(ISBLANK('AI (Maturity Eval)'!BV35)),'AI (Maturity Eval)'!BV35,"")</f>
        <v>N/A</v>
      </c>
      <c r="S25" s="219" t="str">
        <f>IF(NOT(ISBLANK('AI (Maturity Eval)'!CA35)),'AI (Maturity Eval)'!CA35,"")</f>
        <v>Y</v>
      </c>
      <c r="T25" s="219" t="str">
        <f>IF(NOT(ISBLANK('AI (Maturity Eval)'!CF35)),'AI (Maturity Eval)'!CF35,"")</f>
        <v>Y</v>
      </c>
    </row>
    <row r="26" spans="2:25" ht="15" customHeight="1">
      <c r="B26" s="35" t="s">
        <v>54</v>
      </c>
      <c r="C26" s="50" t="s">
        <v>62</v>
      </c>
      <c r="D26" s="197" t="str">
        <f>IF(NOT(ISBLANK('AI (Maturity Eval)'!D36)),'AI (Maturity Eval)'!D36,"")</f>
        <v>Partial</v>
      </c>
      <c r="E26" s="197" t="str">
        <f>IF(NOT(ISBLANK('AI (Maturity Eval)'!I36)),'AI (Maturity Eval)'!I36,"")</f>
        <v>Partial</v>
      </c>
      <c r="F26" s="197" t="str">
        <f>IF(NOT(ISBLANK('AI (Maturity Eval)'!N36)),'AI (Maturity Eval)'!N36,"")</f>
        <v>Partial</v>
      </c>
      <c r="G26" s="197" t="str">
        <f>IF(NOT(ISBLANK('AI (Maturity Eval)'!S36)),'AI (Maturity Eval)'!S36,"")</f>
        <v>Partial</v>
      </c>
      <c r="H26" s="197" t="str">
        <f>IF(NOT(ISBLANK('AI (Maturity Eval)'!X36)),'AI (Maturity Eval)'!X36,"")</f>
        <v>Y</v>
      </c>
      <c r="I26" s="197" t="str">
        <f>IF(NOT(ISBLANK('AI (Maturity Eval)'!AC36)),'AI (Maturity Eval)'!AC36,"")</f>
        <v>Y</v>
      </c>
      <c r="J26" s="197" t="str">
        <f>IF(NOT(ISBLANK('AI (Maturity Eval)'!AH36)),'AI (Maturity Eval)'!AH36,"")</f>
        <v>N</v>
      </c>
      <c r="K26" s="197" t="str">
        <f>IF(NOT(ISBLANK('AI (Maturity Eval)'!AM36)),'AI (Maturity Eval)'!AM36,"")</f>
        <v>N</v>
      </c>
      <c r="L26" s="197" t="str">
        <f>IF(NOT(ISBLANK('AI (Maturity Eval)'!AR36)),'AI (Maturity Eval)'!AR36,"")</f>
        <v>N</v>
      </c>
      <c r="M26" s="197" t="str">
        <f>IF(NOT(ISBLANK('AI (Maturity Eval)'!AW36)),'AI (Maturity Eval)'!AW36,"")</f>
        <v>Y</v>
      </c>
      <c r="N26" s="197" t="str">
        <f>IF(NOT(ISBLANK('AI (Maturity Eval)'!BB36)),'AI (Maturity Eval)'!BB36,"")</f>
        <v>N</v>
      </c>
      <c r="O26" s="197" t="str">
        <f>IF(NOT(ISBLANK('AI (Maturity Eval)'!BG36)),'AI (Maturity Eval)'!BG36,"")</f>
        <v>TBD</v>
      </c>
      <c r="P26" s="197" t="str">
        <f>IF(NOT(ISBLANK('AI (Maturity Eval)'!BL36)),'AI (Maturity Eval)'!BL36,"")</f>
        <v>Partial</v>
      </c>
      <c r="Q26" s="219" t="str">
        <f>IF(NOT(ISBLANK('AI (Maturity Eval)'!BQ36)),'AI (Maturity Eval)'!BQ36,"")</f>
        <v>TBD</v>
      </c>
      <c r="R26" s="219" t="str">
        <f>IF(NOT(ISBLANK('AI (Maturity Eval)'!BV36)),'AI (Maturity Eval)'!BV36,"")</f>
        <v>N/A</v>
      </c>
      <c r="S26" s="219" t="str">
        <f>IF(NOT(ISBLANK('AI (Maturity Eval)'!CA36)),'AI (Maturity Eval)'!CA36,"")</f>
        <v>Y</v>
      </c>
      <c r="T26" s="219" t="str">
        <f>IF(NOT(ISBLANK('AI (Maturity Eval)'!CF36)),'AI (Maturity Eval)'!CF36,"")</f>
        <v>Y</v>
      </c>
    </row>
    <row r="27" spans="2:25" ht="15" customHeight="1">
      <c r="B27" s="35" t="s">
        <v>54</v>
      </c>
      <c r="C27" s="42" t="s">
        <v>64</v>
      </c>
      <c r="D27" s="197" t="str">
        <f>IF(NOT(ISBLANK('AI (Maturity Eval)'!D37)),'AI (Maturity Eval)'!D37,"")</f>
        <v>Partial</v>
      </c>
      <c r="E27" s="197" t="str">
        <f>IF(NOT(ISBLANK('AI (Maturity Eval)'!I37)),'AI (Maturity Eval)'!I37,"")</f>
        <v>Partial</v>
      </c>
      <c r="F27" s="197" t="str">
        <f>IF(NOT(ISBLANK('AI (Maturity Eval)'!N37)),'AI (Maturity Eval)'!N37,"")</f>
        <v>Partial</v>
      </c>
      <c r="G27" s="197" t="str">
        <f>IF(NOT(ISBLANK('AI (Maturity Eval)'!S37)),'AI (Maturity Eval)'!S37,"")</f>
        <v>Partial</v>
      </c>
      <c r="H27" s="197" t="str">
        <f>IF(NOT(ISBLANK('AI (Maturity Eval)'!X37)),'AI (Maturity Eval)'!X37,"")</f>
        <v>Y</v>
      </c>
      <c r="I27" s="197" t="str">
        <f>IF(NOT(ISBLANK('AI (Maturity Eval)'!AC37)),'AI (Maturity Eval)'!AC37,"")</f>
        <v>Y</v>
      </c>
      <c r="J27" s="197" t="str">
        <f>IF(NOT(ISBLANK('AI (Maturity Eval)'!AH37)),'AI (Maturity Eval)'!AH37,"")</f>
        <v>Y</v>
      </c>
      <c r="K27" s="197" t="str">
        <f>IF(NOT(ISBLANK('AI (Maturity Eval)'!AM37)),'AI (Maturity Eval)'!AM37,"")</f>
        <v>Y</v>
      </c>
      <c r="L27" s="197" t="str">
        <f>IF(NOT(ISBLANK('AI (Maturity Eval)'!AR37)),'AI (Maturity Eval)'!AR37,"")</f>
        <v>N</v>
      </c>
      <c r="M27" s="197" t="str">
        <f>IF(NOT(ISBLANK('AI (Maturity Eval)'!AW37)),'AI (Maturity Eval)'!AW37,"")</f>
        <v>Y</v>
      </c>
      <c r="N27" s="197" t="str">
        <f>IF(NOT(ISBLANK('AI (Maturity Eval)'!BB37)),'AI (Maturity Eval)'!BB37,"")</f>
        <v>N</v>
      </c>
      <c r="O27" s="197" t="str">
        <f>IF(NOT(ISBLANK('AI (Maturity Eval)'!BG37)),'AI (Maturity Eval)'!BG37,"")</f>
        <v>TBD</v>
      </c>
      <c r="P27" s="197" t="str">
        <f>IF(NOT(ISBLANK('AI (Maturity Eval)'!BL37)),'AI (Maturity Eval)'!BL37,"")</f>
        <v>Partial</v>
      </c>
      <c r="Q27" s="219" t="str">
        <f>IF(NOT(ISBLANK('AI (Maturity Eval)'!BQ37)),'AI (Maturity Eval)'!BQ37,"")</f>
        <v>TBD</v>
      </c>
      <c r="R27" s="219" t="str">
        <f>IF(NOT(ISBLANK('AI (Maturity Eval)'!BV37)),'AI (Maturity Eval)'!BV37,"")</f>
        <v>N/A</v>
      </c>
      <c r="S27" s="219" t="str">
        <f>IF(NOT(ISBLANK('AI (Maturity Eval)'!CA37)),'AI (Maturity Eval)'!CA37,"")</f>
        <v>Y</v>
      </c>
      <c r="T27" s="219" t="str">
        <f>IF(NOT(ISBLANK('AI (Maturity Eval)'!CF37)),'AI (Maturity Eval)'!CF37,"")</f>
        <v>Y</v>
      </c>
    </row>
    <row r="28" spans="2:25" ht="15" customHeight="1">
      <c r="B28" s="35" t="s">
        <v>54</v>
      </c>
      <c r="C28" s="42" t="s">
        <v>66</v>
      </c>
      <c r="D28" s="197" t="str">
        <f>IF(NOT(ISBLANK('AI (Maturity Eval)'!D38)),'AI (Maturity Eval)'!D38,"")</f>
        <v>TBD</v>
      </c>
      <c r="E28" s="197" t="str">
        <f>IF(NOT(ISBLANK('AI (Maturity Eval)'!I38)),'AI (Maturity Eval)'!I38,"")</f>
        <v>Partial</v>
      </c>
      <c r="F28" s="197" t="str">
        <f>IF(NOT(ISBLANK('AI (Maturity Eval)'!N38)),'AI (Maturity Eval)'!N38,"")</f>
        <v>Partial</v>
      </c>
      <c r="G28" s="197" t="str">
        <f>IF(NOT(ISBLANK('AI (Maturity Eval)'!S38)),'AI (Maturity Eval)'!S38,"")</f>
        <v>Partial</v>
      </c>
      <c r="H28" s="197" t="str">
        <f>IF(NOT(ISBLANK('AI (Maturity Eval)'!X38)),'AI (Maturity Eval)'!X38,"")</f>
        <v>Y</v>
      </c>
      <c r="I28" s="197" t="str">
        <f>IF(NOT(ISBLANK('AI (Maturity Eval)'!AC38)),'AI (Maturity Eval)'!AC38,"")</f>
        <v>Y</v>
      </c>
      <c r="J28" s="197" t="str">
        <f>IF(NOT(ISBLANK('AI (Maturity Eval)'!AH38)),'AI (Maturity Eval)'!AH38,"")</f>
        <v>Y</v>
      </c>
      <c r="K28" s="197" t="str">
        <f>IF(NOT(ISBLANK('AI (Maturity Eval)'!AM38)),'AI (Maturity Eval)'!AM38,"")</f>
        <v>Y</v>
      </c>
      <c r="L28" s="197" t="str">
        <f>IF(NOT(ISBLANK('AI (Maturity Eval)'!AR38)),'AI (Maturity Eval)'!AR38,"")</f>
        <v>N</v>
      </c>
      <c r="M28" s="197" t="str">
        <f>IF(NOT(ISBLANK('AI (Maturity Eval)'!AW38)),'AI (Maturity Eval)'!AW38,"")</f>
        <v>Y</v>
      </c>
      <c r="N28" s="197" t="str">
        <f>IF(NOT(ISBLANK('AI (Maturity Eval)'!BB38)),'AI (Maturity Eval)'!BB38,"")</f>
        <v>Y</v>
      </c>
      <c r="O28" s="197" t="str">
        <f>IF(NOT(ISBLANK('AI (Maturity Eval)'!BG38)),'AI (Maturity Eval)'!BG38,"")</f>
        <v>TBD</v>
      </c>
      <c r="P28" s="197" t="str">
        <f>IF(NOT(ISBLANK('AI (Maturity Eval)'!BL38)),'AI (Maturity Eval)'!BL38,"")</f>
        <v>Y</v>
      </c>
      <c r="Q28" s="219" t="str">
        <f>IF(NOT(ISBLANK('AI (Maturity Eval)'!BQ38)),'AI (Maturity Eval)'!BQ38,"")</f>
        <v>TBD</v>
      </c>
      <c r="R28" s="219" t="str">
        <f>IF(NOT(ISBLANK('AI (Maturity Eval)'!BV38)),'AI (Maturity Eval)'!BV38,"")</f>
        <v>N/A</v>
      </c>
      <c r="S28" s="219" t="str">
        <f>IF(NOT(ISBLANK('AI (Maturity Eval)'!CA38)),'AI (Maturity Eval)'!CA38,"")</f>
        <v>Y</v>
      </c>
      <c r="T28" s="219" t="str">
        <f>IF(NOT(ISBLANK('AI (Maturity Eval)'!CF38)),'AI (Maturity Eval)'!CF38,"")</f>
        <v>Y</v>
      </c>
    </row>
    <row r="29" spans="2:25" ht="15" customHeight="1">
      <c r="B29" s="119" t="s">
        <v>54</v>
      </c>
      <c r="C29" s="120" t="s">
        <v>68</v>
      </c>
      <c r="D29" s="197" t="str">
        <f>IF(NOT(ISBLANK('AI (Maturity Eval)'!D39)),'AI (Maturity Eval)'!D39,"")</f>
        <v>TBD</v>
      </c>
      <c r="E29" s="197" t="str">
        <f>IF(NOT(ISBLANK('AI (Maturity Eval)'!I39)),'AI (Maturity Eval)'!I39,"")</f>
        <v>N</v>
      </c>
      <c r="F29" s="197" t="str">
        <f>IF(NOT(ISBLANK('AI (Maturity Eval)'!N39)),'AI (Maturity Eval)'!N39,"")</f>
        <v>N</v>
      </c>
      <c r="G29" s="197" t="str">
        <f>IF(NOT(ISBLANK('AI (Maturity Eval)'!S39)),'AI (Maturity Eval)'!S39,"")</f>
        <v>N</v>
      </c>
      <c r="H29" s="197" t="str">
        <f>IF(NOT(ISBLANK('AI (Maturity Eval)'!X39)),'AI (Maturity Eval)'!X39,"")</f>
        <v>Y</v>
      </c>
      <c r="I29" s="197" t="str">
        <f>IF(NOT(ISBLANK('AI (Maturity Eval)'!AC39)),'AI (Maturity Eval)'!AC39,"")</f>
        <v>Y</v>
      </c>
      <c r="J29" s="197" t="str">
        <f>IF(NOT(ISBLANK('AI (Maturity Eval)'!AH39)),'AI (Maturity Eval)'!AH39,"")</f>
        <v>Y</v>
      </c>
      <c r="K29" s="197" t="str">
        <f>IF(NOT(ISBLANK('AI (Maturity Eval)'!AM39)),'AI (Maturity Eval)'!AM39,"")</f>
        <v>Y</v>
      </c>
      <c r="L29" s="197" t="str">
        <f>IF(NOT(ISBLANK('AI (Maturity Eval)'!AR39)),'AI (Maturity Eval)'!AR39,"")</f>
        <v>N</v>
      </c>
      <c r="M29" s="197" t="str">
        <f>IF(NOT(ISBLANK('AI (Maturity Eval)'!AW39)),'AI (Maturity Eval)'!AW39,"")</f>
        <v>N/A</v>
      </c>
      <c r="N29" s="197" t="str">
        <f>IF(NOT(ISBLANK('AI (Maturity Eval)'!BB39)),'AI (Maturity Eval)'!BB39,"")</f>
        <v>N</v>
      </c>
      <c r="O29" s="197" t="str">
        <f>IF(NOT(ISBLANK('AI (Maturity Eval)'!BG39)),'AI (Maturity Eval)'!BG39,"")</f>
        <v>TBD</v>
      </c>
      <c r="P29" s="197" t="str">
        <f>IF(NOT(ISBLANK('AI (Maturity Eval)'!BL39)),'AI (Maturity Eval)'!BL39,"")</f>
        <v>N</v>
      </c>
      <c r="Q29" s="219" t="str">
        <f>IF(NOT(ISBLANK('AI (Maturity Eval)'!BQ39)),'AI (Maturity Eval)'!BQ39,"")</f>
        <v>TBD</v>
      </c>
      <c r="R29" s="219" t="str">
        <f>IF(NOT(ISBLANK('AI (Maturity Eval)'!BV39)),'AI (Maturity Eval)'!BV39,"")</f>
        <v>N/A</v>
      </c>
      <c r="S29" s="219" t="str">
        <f>IF(NOT(ISBLANK('AI (Maturity Eval)'!CA39)),'AI (Maturity Eval)'!CA39,"")</f>
        <v>Y</v>
      </c>
      <c r="T29" s="219" t="str">
        <f>IF(NOT(ISBLANK('AI (Maturity Eval)'!CF39)),'AI (Maturity Eval)'!CF39,"")</f>
        <v>Y</v>
      </c>
    </row>
    <row r="30" spans="2:25" ht="15" customHeight="1">
      <c r="B30" s="119" t="s">
        <v>54</v>
      </c>
      <c r="C30" s="120" t="s">
        <v>70</v>
      </c>
      <c r="D30" s="197" t="str">
        <f>IF(NOT(ISBLANK('AI (Maturity Eval)'!D40)),'AI (Maturity Eval)'!D40,"")</f>
        <v>TBD</v>
      </c>
      <c r="E30" s="197" t="str">
        <f>IF(NOT(ISBLANK('AI (Maturity Eval)'!I40)),'AI (Maturity Eval)'!I40,"")</f>
        <v>N</v>
      </c>
      <c r="F30" s="197" t="str">
        <f>IF(NOT(ISBLANK('AI (Maturity Eval)'!N40)),'AI (Maturity Eval)'!N40,"")</f>
        <v>N</v>
      </c>
      <c r="G30" s="197" t="str">
        <f>IF(NOT(ISBLANK('AI (Maturity Eval)'!S40)),'AI (Maturity Eval)'!S40,"")</f>
        <v>N</v>
      </c>
      <c r="H30" s="197" t="str">
        <f>IF(NOT(ISBLANK('AI (Maturity Eval)'!X40)),'AI (Maturity Eval)'!X40,"")</f>
        <v>Y</v>
      </c>
      <c r="I30" s="197" t="str">
        <f>IF(NOT(ISBLANK('AI (Maturity Eval)'!AC40)),'AI (Maturity Eval)'!AC40,"")</f>
        <v>Y</v>
      </c>
      <c r="J30" s="197" t="str">
        <f>IF(NOT(ISBLANK('AI (Maturity Eval)'!AH40)),'AI (Maturity Eval)'!AH40,"")</f>
        <v>Y</v>
      </c>
      <c r="K30" s="197" t="str">
        <f>IF(NOT(ISBLANK('AI (Maturity Eval)'!AM40)),'AI (Maturity Eval)'!AM40,"")</f>
        <v>Y</v>
      </c>
      <c r="L30" s="197" t="str">
        <f>IF(NOT(ISBLANK('AI (Maturity Eval)'!AR40)),'AI (Maturity Eval)'!AR40,"")</f>
        <v>N</v>
      </c>
      <c r="M30" s="197" t="str">
        <f>IF(NOT(ISBLANK('AI (Maturity Eval)'!AW40)),'AI (Maturity Eval)'!AW40,"")</f>
        <v>N/A</v>
      </c>
      <c r="N30" s="197" t="str">
        <f>IF(NOT(ISBLANK('AI (Maturity Eval)'!BB40)),'AI (Maturity Eval)'!BB40,"")</f>
        <v>N</v>
      </c>
      <c r="O30" s="197" t="str">
        <f>IF(NOT(ISBLANK('AI (Maturity Eval)'!BG40)),'AI (Maturity Eval)'!BG40,"")</f>
        <v>TBD</v>
      </c>
      <c r="P30" s="197" t="str">
        <f>IF(NOT(ISBLANK('AI (Maturity Eval)'!BL40)),'AI (Maturity Eval)'!BL40,"")</f>
        <v>N</v>
      </c>
      <c r="Q30" s="219" t="str">
        <f>IF(NOT(ISBLANK('AI (Maturity Eval)'!BQ40)),'AI (Maturity Eval)'!BQ40,"")</f>
        <v>TBD</v>
      </c>
      <c r="R30" s="219" t="str">
        <f>IF(NOT(ISBLANK('AI (Maturity Eval)'!BV40)),'AI (Maturity Eval)'!BV40,"")</f>
        <v>N/A</v>
      </c>
      <c r="S30" s="219" t="str">
        <f>IF(NOT(ISBLANK('AI (Maturity Eval)'!CA40)),'AI (Maturity Eval)'!CA40,"")</f>
        <v>N</v>
      </c>
      <c r="T30" s="219" t="str">
        <f>IF(NOT(ISBLANK('AI (Maturity Eval)'!CF40)),'AI (Maturity Eval)'!CF40,"")</f>
        <v>N</v>
      </c>
      <c r="Y30" s="128"/>
    </row>
    <row r="31" spans="2:25" ht="15" customHeight="1">
      <c r="B31" s="119" t="s">
        <v>54</v>
      </c>
      <c r="C31" s="120" t="s">
        <v>72</v>
      </c>
      <c r="D31" s="197" t="str">
        <f>IF(NOT(ISBLANK('AI (Maturity Eval)'!D41)),'AI (Maturity Eval)'!D41,"")</f>
        <v>TBD</v>
      </c>
      <c r="E31" s="197" t="str">
        <f>IF(NOT(ISBLANK('AI (Maturity Eval)'!I41)),'AI (Maturity Eval)'!I41,"")</f>
        <v>N</v>
      </c>
      <c r="F31" s="197" t="str">
        <f>IF(NOT(ISBLANK('AI (Maturity Eval)'!N41)),'AI (Maturity Eval)'!N41,"")</f>
        <v>N</v>
      </c>
      <c r="G31" s="197" t="str">
        <f>IF(NOT(ISBLANK('AI (Maturity Eval)'!S41)),'AI (Maturity Eval)'!S41,"")</f>
        <v>N</v>
      </c>
      <c r="H31" s="197" t="str">
        <f>IF(NOT(ISBLANK('AI (Maturity Eval)'!X41)),'AI (Maturity Eval)'!X41,"")</f>
        <v>Y</v>
      </c>
      <c r="I31" s="197" t="str">
        <f>IF(NOT(ISBLANK('AI (Maturity Eval)'!AC41)),'AI (Maturity Eval)'!AC41,"")</f>
        <v>Y</v>
      </c>
      <c r="J31" s="197" t="str">
        <f>IF(NOT(ISBLANK('AI (Maturity Eval)'!AH41)),'AI (Maturity Eval)'!AH41,"")</f>
        <v>Y</v>
      </c>
      <c r="K31" s="197" t="str">
        <f>IF(NOT(ISBLANK('AI (Maturity Eval)'!AM41)),'AI (Maturity Eval)'!AM41,"")</f>
        <v>Y</v>
      </c>
      <c r="L31" s="197" t="str">
        <f>IF(NOT(ISBLANK('AI (Maturity Eval)'!AR41)),'AI (Maturity Eval)'!AR41,"")</f>
        <v>N</v>
      </c>
      <c r="M31" s="197" t="str">
        <f>IF(NOT(ISBLANK('AI (Maturity Eval)'!AW41)),'AI (Maturity Eval)'!AW41,"")</f>
        <v>N/A</v>
      </c>
      <c r="N31" s="197" t="str">
        <f>IF(NOT(ISBLANK('AI (Maturity Eval)'!BB41)),'AI (Maturity Eval)'!BB41,"")</f>
        <v>N</v>
      </c>
      <c r="O31" s="197" t="str">
        <f>IF(NOT(ISBLANK('AI (Maturity Eval)'!BG41)),'AI (Maturity Eval)'!BG41,"")</f>
        <v>TBD</v>
      </c>
      <c r="P31" s="197" t="str">
        <f>IF(NOT(ISBLANK('AI (Maturity Eval)'!BL41)),'AI (Maturity Eval)'!BL41,"")</f>
        <v>N</v>
      </c>
      <c r="Q31" s="219" t="str">
        <f>IF(NOT(ISBLANK('AI (Maturity Eval)'!BQ41)),'AI (Maturity Eval)'!BQ41,"")</f>
        <v>TBD</v>
      </c>
      <c r="R31" s="219" t="str">
        <f>IF(NOT(ISBLANK('AI (Maturity Eval)'!BV41)),'AI (Maturity Eval)'!BV41,"")</f>
        <v>N/A</v>
      </c>
      <c r="S31" s="219" t="str">
        <f>IF(NOT(ISBLANK('AI (Maturity Eval)'!CA41)),'AI (Maturity Eval)'!CA41,"")</f>
        <v>Partial</v>
      </c>
      <c r="T31" s="219" t="str">
        <f>IF(NOT(ISBLANK('AI (Maturity Eval)'!CF41)),'AI (Maturity Eval)'!CF41,"")</f>
        <v>N</v>
      </c>
    </row>
    <row r="32" spans="2:25" ht="15" customHeight="1">
      <c r="B32" s="119" t="s">
        <v>54</v>
      </c>
      <c r="C32" s="120" t="s">
        <v>74</v>
      </c>
      <c r="D32" s="197" t="str">
        <f>IF(NOT(ISBLANK('AI (Maturity Eval)'!D42)),'AI (Maturity Eval)'!D42,"")</f>
        <v>TBD</v>
      </c>
      <c r="E32" s="197" t="str">
        <f>IF(NOT(ISBLANK('AI (Maturity Eval)'!I42)),'AI (Maturity Eval)'!I42,"")</f>
        <v>N</v>
      </c>
      <c r="F32" s="197" t="str">
        <f>IF(NOT(ISBLANK('AI (Maturity Eval)'!N42)),'AI (Maturity Eval)'!N42,"")</f>
        <v>N</v>
      </c>
      <c r="G32" s="197" t="str">
        <f>IF(NOT(ISBLANK('AI (Maturity Eval)'!S42)),'AI (Maturity Eval)'!S42,"")</f>
        <v>N</v>
      </c>
      <c r="H32" s="197" t="str">
        <f>IF(NOT(ISBLANK('AI (Maturity Eval)'!X42)),'AI (Maturity Eval)'!X42,"")</f>
        <v>Y</v>
      </c>
      <c r="I32" s="197" t="str">
        <f>IF(NOT(ISBLANK('AI (Maturity Eval)'!AC42)),'AI (Maturity Eval)'!AC42,"")</f>
        <v>Y</v>
      </c>
      <c r="J32" s="197" t="str">
        <f>IF(NOT(ISBLANK('AI (Maturity Eval)'!AH42)),'AI (Maturity Eval)'!AH42,"")</f>
        <v>Y</v>
      </c>
      <c r="K32" s="197" t="str">
        <f>IF(NOT(ISBLANK('AI (Maturity Eval)'!AM42)),'AI (Maturity Eval)'!AM42,"")</f>
        <v>Y</v>
      </c>
      <c r="L32" s="197" t="str">
        <f>IF(NOT(ISBLANK('AI (Maturity Eval)'!AR42)),'AI (Maturity Eval)'!AR42,"")</f>
        <v>N</v>
      </c>
      <c r="M32" s="197" t="str">
        <f>IF(NOT(ISBLANK('AI (Maturity Eval)'!AW42)),'AI (Maturity Eval)'!AW42,"")</f>
        <v>N/A</v>
      </c>
      <c r="N32" s="197" t="str">
        <f>IF(NOT(ISBLANK('AI (Maturity Eval)'!BB42)),'AI (Maturity Eval)'!BB42,"")</f>
        <v>N</v>
      </c>
      <c r="O32" s="197" t="str">
        <f>IF(NOT(ISBLANK('AI (Maturity Eval)'!BG42)),'AI (Maturity Eval)'!BG42,"")</f>
        <v>TBD</v>
      </c>
      <c r="P32" s="197" t="str">
        <f>IF(NOT(ISBLANK('AI (Maturity Eval)'!BL42)),'AI (Maturity Eval)'!BL42,"")</f>
        <v>N</v>
      </c>
      <c r="Q32" s="219" t="str">
        <f>IF(NOT(ISBLANK('AI (Maturity Eval)'!BQ42)),'AI (Maturity Eval)'!BQ42,"")</f>
        <v>TBD</v>
      </c>
      <c r="R32" s="219" t="str">
        <f>IF(NOT(ISBLANK('AI (Maturity Eval)'!BV42)),'AI (Maturity Eval)'!BV42,"")</f>
        <v>N/A</v>
      </c>
      <c r="S32" s="219" t="str">
        <f>IF(NOT(ISBLANK('AI (Maturity Eval)'!CA42)),'AI (Maturity Eval)'!CA42,"")</f>
        <v>Partial</v>
      </c>
      <c r="T32" s="219" t="str">
        <f>IF(NOT(ISBLANK('AI (Maturity Eval)'!CF42)),'AI (Maturity Eval)'!CF42,"")</f>
        <v>N</v>
      </c>
    </row>
    <row r="33" spans="2:20" ht="15" customHeight="1">
      <c r="B33" s="35" t="s">
        <v>76</v>
      </c>
      <c r="C33" s="37" t="s">
        <v>78</v>
      </c>
      <c r="D33" s="197" t="str">
        <f>IF(NOT(ISBLANK('AI (Maturity Eval)'!D43)),'AI (Maturity Eval)'!D43,"")</f>
        <v>TBD</v>
      </c>
      <c r="E33" s="197" t="str">
        <f>IF(NOT(ISBLANK('AI (Maturity Eval)'!I43)),'AI (Maturity Eval)'!I43,"")</f>
        <v>Partial</v>
      </c>
      <c r="F33" s="197" t="str">
        <f>IF(NOT(ISBLANK('AI (Maturity Eval)'!N43)),'AI (Maturity Eval)'!N43,"")</f>
        <v>Partial</v>
      </c>
      <c r="G33" s="197" t="str">
        <f>IF(NOT(ISBLANK('AI (Maturity Eval)'!S43)),'AI (Maturity Eval)'!S43,"")</f>
        <v>Partial</v>
      </c>
      <c r="H33" s="197" t="str">
        <f>IF(NOT(ISBLANK('AI (Maturity Eval)'!X43)),'AI (Maturity Eval)'!X43,"")</f>
        <v>Y</v>
      </c>
      <c r="I33" s="197" t="str">
        <f>IF(NOT(ISBLANK('AI (Maturity Eval)'!AC43)),'AI (Maturity Eval)'!AC43,"")</f>
        <v>Y</v>
      </c>
      <c r="J33" s="197" t="str">
        <f>IF(NOT(ISBLANK('AI (Maturity Eval)'!AH43)),'AI (Maturity Eval)'!AH43,"")</f>
        <v>N</v>
      </c>
      <c r="K33" s="197" t="str">
        <f>IF(NOT(ISBLANK('AI (Maturity Eval)'!AM43)),'AI (Maturity Eval)'!AM43,"")</f>
        <v>N</v>
      </c>
      <c r="L33" s="197" t="str">
        <f>IF(NOT(ISBLANK('AI (Maturity Eval)'!AR43)),'AI (Maturity Eval)'!AR43,"")</f>
        <v>N</v>
      </c>
      <c r="M33" s="197" t="str">
        <f>IF(NOT(ISBLANK('AI (Maturity Eval)'!AW43)),'AI (Maturity Eval)'!AW43,"")</f>
        <v>Y</v>
      </c>
      <c r="N33" s="197" t="str">
        <f>IF(NOT(ISBLANK('AI (Maturity Eval)'!BB43)),'AI (Maturity Eval)'!BB43,"")</f>
        <v>TBD</v>
      </c>
      <c r="O33" s="197" t="str">
        <f>IF(NOT(ISBLANK('AI (Maturity Eval)'!BG43)),'AI (Maturity Eval)'!BG43,"")</f>
        <v>TBD</v>
      </c>
      <c r="P33" s="197" t="str">
        <f>IF(NOT(ISBLANK('AI (Maturity Eval)'!BL43)),'AI (Maturity Eval)'!BL43,"")</f>
        <v>Y</v>
      </c>
      <c r="Q33" s="219" t="str">
        <f>IF(NOT(ISBLANK('AI (Maturity Eval)'!BQ43)),'AI (Maturity Eval)'!BQ43,"")</f>
        <v>TBD</v>
      </c>
      <c r="R33" s="219" t="str">
        <f>IF(NOT(ISBLANK('AI (Maturity Eval)'!BV43)),'AI (Maturity Eval)'!BV43,"")</f>
        <v>N/A</v>
      </c>
      <c r="S33" s="219" t="str">
        <f>IF(NOT(ISBLANK('AI (Maturity Eval)'!CA43)),'AI (Maturity Eval)'!CA43,"")</f>
        <v>Y</v>
      </c>
      <c r="T33" s="219" t="str">
        <f>IF(NOT(ISBLANK('AI (Maturity Eval)'!CF43)),'AI (Maturity Eval)'!CF43,"")</f>
        <v>Y</v>
      </c>
    </row>
    <row r="34" spans="2:20" ht="15" customHeight="1">
      <c r="B34" s="35" t="s">
        <v>76</v>
      </c>
      <c r="C34" s="34" t="s">
        <v>80</v>
      </c>
      <c r="D34" s="197" t="str">
        <f>IF(NOT(ISBLANK('AI (Maturity Eval)'!D44)),'AI (Maturity Eval)'!D44,"")</f>
        <v>TBD</v>
      </c>
      <c r="E34" s="197" t="str">
        <f>IF(NOT(ISBLANK('AI (Maturity Eval)'!I44)),'AI (Maturity Eval)'!I44,"")</f>
        <v>Partial</v>
      </c>
      <c r="F34" s="197" t="str">
        <f>IF(NOT(ISBLANK('AI (Maturity Eval)'!N44)),'AI (Maturity Eval)'!N44,"")</f>
        <v>Partial</v>
      </c>
      <c r="G34" s="197" t="str">
        <f>IF(NOT(ISBLANK('AI (Maturity Eval)'!S44)),'AI (Maturity Eval)'!S44,"")</f>
        <v>Partial</v>
      </c>
      <c r="H34" s="197" t="str">
        <f>IF(NOT(ISBLANK('AI (Maturity Eval)'!X44)),'AI (Maturity Eval)'!X44,"")</f>
        <v>Y</v>
      </c>
      <c r="I34" s="197" t="str">
        <f>IF(NOT(ISBLANK('AI (Maturity Eval)'!AC44)),'AI (Maturity Eval)'!AC44,"")</f>
        <v>Y</v>
      </c>
      <c r="J34" s="197" t="str">
        <f>IF(NOT(ISBLANK('AI (Maturity Eval)'!AH44)),'AI (Maturity Eval)'!AH44,"")</f>
        <v>N</v>
      </c>
      <c r="K34" s="197" t="str">
        <f>IF(NOT(ISBLANK('AI (Maturity Eval)'!AM44)),'AI (Maturity Eval)'!AM44,"")</f>
        <v>N</v>
      </c>
      <c r="L34" s="197" t="str">
        <f>IF(NOT(ISBLANK('AI (Maturity Eval)'!AR44)),'AI (Maturity Eval)'!AR44,"")</f>
        <v>N</v>
      </c>
      <c r="M34" s="197" t="str">
        <f>IF(NOT(ISBLANK('AI (Maturity Eval)'!AW44)),'AI (Maturity Eval)'!AW44,"")</f>
        <v>Y</v>
      </c>
      <c r="N34" s="197" t="str">
        <f>IF(NOT(ISBLANK('AI (Maturity Eval)'!BB44)),'AI (Maturity Eval)'!BB44,"")</f>
        <v>TBD</v>
      </c>
      <c r="O34" s="197" t="str">
        <f>IF(NOT(ISBLANK('AI (Maturity Eval)'!BG44)),'AI (Maturity Eval)'!BG44,"")</f>
        <v>TBD</v>
      </c>
      <c r="P34" s="197" t="str">
        <f>IF(NOT(ISBLANK('AI (Maturity Eval)'!BL44)),'AI (Maturity Eval)'!BL44,"")</f>
        <v>Y</v>
      </c>
      <c r="Q34" s="219" t="str">
        <f>IF(NOT(ISBLANK('AI (Maturity Eval)'!BQ44)),'AI (Maturity Eval)'!BQ44,"")</f>
        <v>TBD</v>
      </c>
      <c r="R34" s="219" t="str">
        <f>IF(NOT(ISBLANK('AI (Maturity Eval)'!BV44)),'AI (Maturity Eval)'!BV44,"")</f>
        <v>TBD</v>
      </c>
      <c r="S34" s="219" t="str">
        <f>IF(NOT(ISBLANK('AI (Maturity Eval)'!CA44)),'AI (Maturity Eval)'!CA44,"")</f>
        <v>Y</v>
      </c>
      <c r="T34" s="219" t="str">
        <f>IF(NOT(ISBLANK('AI (Maturity Eval)'!CF44)),'AI (Maturity Eval)'!CF44,"")</f>
        <v>Y</v>
      </c>
    </row>
    <row r="35" spans="2:20" ht="15" customHeight="1">
      <c r="B35" s="35" t="s">
        <v>76</v>
      </c>
      <c r="C35" s="39" t="s">
        <v>82</v>
      </c>
      <c r="D35" s="197" t="str">
        <f>IF(NOT(ISBLANK('AI (Maturity Eval)'!D45)),'AI (Maturity Eval)'!D45,"")</f>
        <v>TBD</v>
      </c>
      <c r="E35" s="197" t="str">
        <f>IF(NOT(ISBLANK('AI (Maturity Eval)'!I45)),'AI (Maturity Eval)'!I45,"")</f>
        <v>Partial</v>
      </c>
      <c r="F35" s="197" t="str">
        <f>IF(NOT(ISBLANK('AI (Maturity Eval)'!N45)),'AI (Maturity Eval)'!N45,"")</f>
        <v>Partial</v>
      </c>
      <c r="G35" s="197" t="str">
        <f>IF(NOT(ISBLANK('AI (Maturity Eval)'!S45)),'AI (Maturity Eval)'!S45,"")</f>
        <v>Partial</v>
      </c>
      <c r="H35" s="197" t="str">
        <f>IF(NOT(ISBLANK('AI (Maturity Eval)'!X45)),'AI (Maturity Eval)'!X45,"")</f>
        <v>?</v>
      </c>
      <c r="I35" s="197" t="str">
        <f>IF(NOT(ISBLANK('AI (Maturity Eval)'!AC45)),'AI (Maturity Eval)'!AC45,"")</f>
        <v>N</v>
      </c>
      <c r="J35" s="197" t="str">
        <f>IF(NOT(ISBLANK('AI (Maturity Eval)'!AH45)),'AI (Maturity Eval)'!AH45,"")</f>
        <v>Y</v>
      </c>
      <c r="K35" s="197" t="str">
        <f>IF(NOT(ISBLANK('AI (Maturity Eval)'!AM45)),'AI (Maturity Eval)'!AM45,"")</f>
        <v>Y</v>
      </c>
      <c r="L35" s="197" t="str">
        <f>IF(NOT(ISBLANK('AI (Maturity Eval)'!AR45)),'AI (Maturity Eval)'!AR45,"")</f>
        <v>N</v>
      </c>
      <c r="M35" s="197" t="str">
        <f>IF(NOT(ISBLANK('AI (Maturity Eval)'!AW45)),'AI (Maturity Eval)'!AW45,"")</f>
        <v>Y</v>
      </c>
      <c r="N35" s="197" t="str">
        <f>IF(NOT(ISBLANK('AI (Maturity Eval)'!BB45)),'AI (Maturity Eval)'!BB45,"")</f>
        <v>TBD</v>
      </c>
      <c r="O35" s="197" t="str">
        <f>IF(NOT(ISBLANK('AI (Maturity Eval)'!BG45)),'AI (Maturity Eval)'!BG45,"")</f>
        <v>TBD</v>
      </c>
      <c r="P35" s="197" t="str">
        <f>IF(NOT(ISBLANK('AI (Maturity Eval)'!BL45)),'AI (Maturity Eval)'!BL45,"")</f>
        <v>Partial</v>
      </c>
      <c r="Q35" s="219" t="str">
        <f>IF(NOT(ISBLANK('AI (Maturity Eval)'!BQ45)),'AI (Maturity Eval)'!BQ45,"")</f>
        <v>TBD</v>
      </c>
      <c r="R35" s="219" t="str">
        <f>IF(NOT(ISBLANK('AI (Maturity Eval)'!BV45)),'AI (Maturity Eval)'!BV45,"")</f>
        <v>N/A</v>
      </c>
      <c r="S35" s="219" t="str">
        <f>IF(NOT(ISBLANK('AI (Maturity Eval)'!CA45)),'AI (Maturity Eval)'!CA45,"")</f>
        <v>Y</v>
      </c>
      <c r="T35" s="219" t="str">
        <f>IF(NOT(ISBLANK('AI (Maturity Eval)'!CF45)),'AI (Maturity Eval)'!CF45,"")</f>
        <v>N</v>
      </c>
    </row>
    <row r="36" spans="2:20" ht="15" customHeight="1">
      <c r="B36" s="35" t="s">
        <v>76</v>
      </c>
      <c r="C36" s="42" t="s">
        <v>84</v>
      </c>
      <c r="D36" s="197" t="str">
        <f>IF(NOT(ISBLANK('AI (Maturity Eval)'!D46)),'AI (Maturity Eval)'!D46,"")</f>
        <v>TBD</v>
      </c>
      <c r="E36" s="197" t="str">
        <f>IF(NOT(ISBLANK('AI (Maturity Eval)'!I46)),'AI (Maturity Eval)'!I46,"")</f>
        <v>TBD</v>
      </c>
      <c r="F36" s="197" t="str">
        <f>IF(NOT(ISBLANK('AI (Maturity Eval)'!N46)),'AI (Maturity Eval)'!N46,"")</f>
        <v>TBD</v>
      </c>
      <c r="G36" s="197" t="str">
        <f>IF(NOT(ISBLANK('AI (Maturity Eval)'!S46)),'AI (Maturity Eval)'!S46,"")</f>
        <v>TBD</v>
      </c>
      <c r="H36" s="197" t="str">
        <f>IF(NOT(ISBLANK('AI (Maturity Eval)'!X46)),'AI (Maturity Eval)'!X46,"")</f>
        <v>Y</v>
      </c>
      <c r="I36" s="197" t="str">
        <f>IF(NOT(ISBLANK('AI (Maturity Eval)'!AC46)),'AI (Maturity Eval)'!AC46,"")</f>
        <v>Y</v>
      </c>
      <c r="J36" s="197" t="str">
        <f>IF(NOT(ISBLANK('AI (Maturity Eval)'!AH46)),'AI (Maturity Eval)'!AH46,"")</f>
        <v>Y</v>
      </c>
      <c r="K36" s="197" t="str">
        <f>IF(NOT(ISBLANK('AI (Maturity Eval)'!AM46)),'AI (Maturity Eval)'!AM46,"")</f>
        <v>Y</v>
      </c>
      <c r="L36" s="197" t="str">
        <f>IF(NOT(ISBLANK('AI (Maturity Eval)'!AR46)),'AI (Maturity Eval)'!AR46,"")</f>
        <v>N</v>
      </c>
      <c r="M36" s="197" t="str">
        <f>IF(NOT(ISBLANK('AI (Maturity Eval)'!AW46)),'AI (Maturity Eval)'!AW46,"")</f>
        <v>Y</v>
      </c>
      <c r="N36" s="197" t="str">
        <f>IF(NOT(ISBLANK('AI (Maturity Eval)'!BB46)),'AI (Maturity Eval)'!BB46,"")</f>
        <v>TBD</v>
      </c>
      <c r="O36" s="197" t="str">
        <f>IF(NOT(ISBLANK('AI (Maturity Eval)'!BG46)),'AI (Maturity Eval)'!BG46,"")</f>
        <v>TBD</v>
      </c>
      <c r="P36" s="197" t="str">
        <f>IF(NOT(ISBLANK('AI (Maturity Eval)'!BL46)),'AI (Maturity Eval)'!BL46,"")</f>
        <v>Y</v>
      </c>
      <c r="Q36" s="219" t="str">
        <f>IF(NOT(ISBLANK('AI (Maturity Eval)'!BQ46)),'AI (Maturity Eval)'!BQ46,"")</f>
        <v>TBD</v>
      </c>
      <c r="R36" s="219" t="str">
        <f>IF(NOT(ISBLANK('AI (Maturity Eval)'!BV46)),'AI (Maturity Eval)'!BV46,"")</f>
        <v>N</v>
      </c>
      <c r="S36" s="219" t="str">
        <f>IF(NOT(ISBLANK('AI (Maturity Eval)'!CA46)),'AI (Maturity Eval)'!CA46,"")</f>
        <v>Y</v>
      </c>
      <c r="T36" s="219" t="str">
        <f>IF(NOT(ISBLANK('AI (Maturity Eval)'!CF46)),'AI (Maturity Eval)'!CF46,"")</f>
        <v>Y</v>
      </c>
    </row>
    <row r="37" spans="2:20" ht="15" customHeight="1">
      <c r="B37" s="35" t="s">
        <v>76</v>
      </c>
      <c r="C37" s="42" t="s">
        <v>87</v>
      </c>
      <c r="D37" s="197" t="str">
        <f>IF(NOT(ISBLANK('AI (Maturity Eval)'!D47)),'AI (Maturity Eval)'!D47,"")</f>
        <v>TBD</v>
      </c>
      <c r="E37" s="197" t="str">
        <f>IF(NOT(ISBLANK('AI (Maturity Eval)'!I47)),'AI (Maturity Eval)'!I47,"")</f>
        <v>TBD</v>
      </c>
      <c r="F37" s="197" t="str">
        <f>IF(NOT(ISBLANK('AI (Maturity Eval)'!N47)),'AI (Maturity Eval)'!N47,"")</f>
        <v>TBD</v>
      </c>
      <c r="G37" s="197" t="str">
        <f>IF(NOT(ISBLANK('AI (Maturity Eval)'!S47)),'AI (Maturity Eval)'!S47,"")</f>
        <v>TBD</v>
      </c>
      <c r="H37" s="197" t="str">
        <f>IF(NOT(ISBLANK('AI (Maturity Eval)'!X47)),'AI (Maturity Eval)'!X47,"")</f>
        <v>Y</v>
      </c>
      <c r="I37" s="197" t="str">
        <f>IF(NOT(ISBLANK('AI (Maturity Eval)'!AC47)),'AI (Maturity Eval)'!AC47,"")</f>
        <v>Y</v>
      </c>
      <c r="J37" s="197" t="str">
        <f>IF(NOT(ISBLANK('AI (Maturity Eval)'!AH47)),'AI (Maturity Eval)'!AH47,"")</f>
        <v>Y</v>
      </c>
      <c r="K37" s="197" t="str">
        <f>IF(NOT(ISBLANK('AI (Maturity Eval)'!AM47)),'AI (Maturity Eval)'!AM47,"")</f>
        <v>Y</v>
      </c>
      <c r="L37" s="197" t="str">
        <f>IF(NOT(ISBLANK('AI (Maturity Eval)'!AR47)),'AI (Maturity Eval)'!AR47,"")</f>
        <v>N</v>
      </c>
      <c r="M37" s="197" t="str">
        <f>IF(NOT(ISBLANK('AI (Maturity Eval)'!AW47)),'AI (Maturity Eval)'!AW47,"")</f>
        <v>Y</v>
      </c>
      <c r="N37" s="197" t="str">
        <f>IF(NOT(ISBLANK('AI (Maturity Eval)'!BB47)),'AI (Maturity Eval)'!BB47,"")</f>
        <v>TBD</v>
      </c>
      <c r="O37" s="197" t="str">
        <f>IF(NOT(ISBLANK('AI (Maturity Eval)'!BG47)),'AI (Maturity Eval)'!BG47,"")</f>
        <v>TBD</v>
      </c>
      <c r="P37" s="197" t="str">
        <f>IF(NOT(ISBLANK('AI (Maturity Eval)'!BL47)),'AI (Maturity Eval)'!BL47,"")</f>
        <v>Y</v>
      </c>
      <c r="Q37" s="219" t="str">
        <f>IF(NOT(ISBLANK('AI (Maturity Eval)'!BQ47)),'AI (Maturity Eval)'!BQ47,"")</f>
        <v>TBD</v>
      </c>
      <c r="R37" s="219" t="str">
        <f>IF(NOT(ISBLANK('AI (Maturity Eval)'!BV47)),'AI (Maturity Eval)'!BV47,"")</f>
        <v>N</v>
      </c>
      <c r="S37" s="219" t="str">
        <f>IF(NOT(ISBLANK('AI (Maturity Eval)'!CA47)),'AI (Maturity Eval)'!CA47,"")</f>
        <v>Y</v>
      </c>
      <c r="T37" s="219" t="str">
        <f>IF(NOT(ISBLANK('AI (Maturity Eval)'!CF47)),'AI (Maturity Eval)'!CF47,"")</f>
        <v>Y</v>
      </c>
    </row>
    <row r="38" spans="2:20" ht="15" customHeight="1">
      <c r="B38" s="35" t="s">
        <v>76</v>
      </c>
      <c r="C38" s="42" t="s">
        <v>89</v>
      </c>
      <c r="D38" s="197" t="str">
        <f>IF(NOT(ISBLANK('AI (Maturity Eval)'!D48)),'AI (Maturity Eval)'!D48,"")</f>
        <v>TBD</v>
      </c>
      <c r="E38" s="197" t="str">
        <f>IF(NOT(ISBLANK('AI (Maturity Eval)'!I48)),'AI (Maturity Eval)'!I48,"")</f>
        <v>N</v>
      </c>
      <c r="F38" s="197" t="str">
        <f>IF(NOT(ISBLANK('AI (Maturity Eval)'!N48)),'AI (Maturity Eval)'!N48,"")</f>
        <v>N</v>
      </c>
      <c r="G38" s="197" t="str">
        <f>IF(NOT(ISBLANK('AI (Maturity Eval)'!S48)),'AI (Maturity Eval)'!S48,"")</f>
        <v>N</v>
      </c>
      <c r="H38" s="197" t="str">
        <f>IF(NOT(ISBLANK('AI (Maturity Eval)'!X48)),'AI (Maturity Eval)'!X48,"")</f>
        <v>Y</v>
      </c>
      <c r="I38" s="197" t="str">
        <f>IF(NOT(ISBLANK('AI (Maturity Eval)'!AC48)),'AI (Maturity Eval)'!AC48,"")</f>
        <v>Y</v>
      </c>
      <c r="J38" s="197" t="str">
        <f>IF(NOT(ISBLANK('AI (Maturity Eval)'!AH48)),'AI (Maturity Eval)'!AH48,"")</f>
        <v>Y</v>
      </c>
      <c r="K38" s="197" t="str">
        <f>IF(NOT(ISBLANK('AI (Maturity Eval)'!AM48)),'AI (Maturity Eval)'!AM48,"")</f>
        <v>Y</v>
      </c>
      <c r="L38" s="197" t="str">
        <f>IF(NOT(ISBLANK('AI (Maturity Eval)'!AR48)),'AI (Maturity Eval)'!AR48,"")</f>
        <v>N</v>
      </c>
      <c r="M38" s="197" t="str">
        <f>IF(NOT(ISBLANK('AI (Maturity Eval)'!AW48)),'AI (Maturity Eval)'!AW48,"")</f>
        <v>Y</v>
      </c>
      <c r="N38" s="197" t="str">
        <f>IF(NOT(ISBLANK('AI (Maturity Eval)'!BB48)),'AI (Maturity Eval)'!BB48,"")</f>
        <v>TBD</v>
      </c>
      <c r="O38" s="197" t="str">
        <f>IF(NOT(ISBLANK('AI (Maturity Eval)'!BG48)),'AI (Maturity Eval)'!BG48,"")</f>
        <v>TBD</v>
      </c>
      <c r="P38" s="197" t="str">
        <f>IF(NOT(ISBLANK('AI (Maturity Eval)'!BL48)),'AI (Maturity Eval)'!BL48,"")</f>
        <v>Y</v>
      </c>
      <c r="Q38" s="219" t="str">
        <f>IF(NOT(ISBLANK('AI (Maturity Eval)'!BQ48)),'AI (Maturity Eval)'!BQ48,"")</f>
        <v>TBD</v>
      </c>
      <c r="R38" s="219" t="str">
        <f>IF(NOT(ISBLANK('AI (Maturity Eval)'!BV48)),'AI (Maturity Eval)'!BV48,"")</f>
        <v>N</v>
      </c>
      <c r="S38" s="219" t="str">
        <f>IF(NOT(ISBLANK('AI (Maturity Eval)'!CA48)),'AI (Maturity Eval)'!CA48,"")</f>
        <v>Y</v>
      </c>
      <c r="T38" s="219" t="str">
        <f>IF(NOT(ISBLANK('AI (Maturity Eval)'!CF48)),'AI (Maturity Eval)'!CF48,"")</f>
        <v>Y</v>
      </c>
    </row>
    <row r="39" spans="2:20" ht="15" customHeight="1">
      <c r="B39" s="35" t="s">
        <v>76</v>
      </c>
      <c r="C39" s="42" t="s">
        <v>91</v>
      </c>
      <c r="D39" s="197" t="str">
        <f>IF(NOT(ISBLANK('AI (Maturity Eval)'!D49)),'AI (Maturity Eval)'!D49,"")</f>
        <v>TBD</v>
      </c>
      <c r="E39" s="197" t="str">
        <f>IF(NOT(ISBLANK('AI (Maturity Eval)'!I49)),'AI (Maturity Eval)'!I49,"")</f>
        <v>N</v>
      </c>
      <c r="F39" s="197" t="str">
        <f>IF(NOT(ISBLANK('AI (Maturity Eval)'!N49)),'AI (Maturity Eval)'!N49,"")</f>
        <v>N</v>
      </c>
      <c r="G39" s="197" t="str">
        <f>IF(NOT(ISBLANK('AI (Maturity Eval)'!S49)),'AI (Maturity Eval)'!S49,"")</f>
        <v>N</v>
      </c>
      <c r="H39" s="197" t="str">
        <f>IF(NOT(ISBLANK('AI (Maturity Eval)'!X49)),'AI (Maturity Eval)'!X49,"")</f>
        <v>?</v>
      </c>
      <c r="I39" s="197" t="str">
        <f>IF(NOT(ISBLANK('AI (Maturity Eval)'!AC49)),'AI (Maturity Eval)'!AC49,"")</f>
        <v>N</v>
      </c>
      <c r="J39" s="197" t="str">
        <f>IF(NOT(ISBLANK('AI (Maturity Eval)'!AH49)),'AI (Maturity Eval)'!AH49,"")</f>
        <v>Y</v>
      </c>
      <c r="K39" s="197" t="str">
        <f>IF(NOT(ISBLANK('AI (Maturity Eval)'!AM49)),'AI (Maturity Eval)'!AM49,"")</f>
        <v>N</v>
      </c>
      <c r="L39" s="197" t="str">
        <f>IF(NOT(ISBLANK('AI (Maturity Eval)'!AR49)),'AI (Maturity Eval)'!AR49,"")</f>
        <v>N</v>
      </c>
      <c r="M39" s="197" t="str">
        <f>IF(NOT(ISBLANK('AI (Maturity Eval)'!AW49)),'AI (Maturity Eval)'!AW49,"")</f>
        <v>Y</v>
      </c>
      <c r="N39" s="197" t="str">
        <f>IF(NOT(ISBLANK('AI (Maturity Eval)'!BB49)),'AI (Maturity Eval)'!BB49,"")</f>
        <v>TBD</v>
      </c>
      <c r="O39" s="197" t="str">
        <f>IF(NOT(ISBLANK('AI (Maturity Eval)'!BG49)),'AI (Maturity Eval)'!BG49,"")</f>
        <v>TBD</v>
      </c>
      <c r="P39" s="197" t="str">
        <f>IF(NOT(ISBLANK('AI (Maturity Eval)'!BL49)),'AI (Maturity Eval)'!BL49,"")</f>
        <v>?</v>
      </c>
      <c r="Q39" s="219" t="str">
        <f>IF(NOT(ISBLANK('AI (Maturity Eval)'!BQ49)),'AI (Maturity Eval)'!BQ49,"")</f>
        <v>TBD</v>
      </c>
      <c r="R39" s="219" t="str">
        <f>IF(NOT(ISBLANK('AI (Maturity Eval)'!BV49)),'AI (Maturity Eval)'!BV49,"")</f>
        <v>N/A</v>
      </c>
      <c r="S39" s="219" t="str">
        <f>IF(NOT(ISBLANK('AI (Maturity Eval)'!CA49)),'AI (Maturity Eval)'!CA49,"")</f>
        <v>TBD</v>
      </c>
      <c r="T39" s="219" t="str">
        <f>IF(NOT(ISBLANK('AI (Maturity Eval)'!CF49)),'AI (Maturity Eval)'!CF49,"")</f>
        <v>N</v>
      </c>
    </row>
    <row r="40" spans="2:20" ht="15" customHeight="1">
      <c r="B40" s="35" t="s">
        <v>76</v>
      </c>
      <c r="C40" s="78" t="s">
        <v>93</v>
      </c>
      <c r="D40" s="197" t="str">
        <f>IF(NOT(ISBLANK('AI (Maturity Eval)'!D50)),'AI (Maturity Eval)'!D50,"")</f>
        <v>TBD</v>
      </c>
      <c r="E40" s="197" t="str">
        <f>IF(NOT(ISBLANK('AI (Maturity Eval)'!I50)),'AI (Maturity Eval)'!I50,"")</f>
        <v>Partial</v>
      </c>
      <c r="F40" s="197" t="str">
        <f>IF(NOT(ISBLANK('AI (Maturity Eval)'!N50)),'AI (Maturity Eval)'!N50,"")</f>
        <v>Partial</v>
      </c>
      <c r="G40" s="197" t="str">
        <f>IF(NOT(ISBLANK('AI (Maturity Eval)'!S50)),'AI (Maturity Eval)'!S50,"")</f>
        <v>Partial</v>
      </c>
      <c r="H40" s="197" t="str">
        <f>IF(NOT(ISBLANK('AI (Maturity Eval)'!X50)),'AI (Maturity Eval)'!X50,"")</f>
        <v>?</v>
      </c>
      <c r="I40" s="197" t="str">
        <f>IF(NOT(ISBLANK('AI (Maturity Eval)'!AC50)),'AI (Maturity Eval)'!AC50,"")</f>
        <v>N/A</v>
      </c>
      <c r="J40" s="197" t="str">
        <f>IF(NOT(ISBLANK('AI (Maturity Eval)'!AH50)),'AI (Maturity Eval)'!AH50,"")</f>
        <v>N</v>
      </c>
      <c r="K40" s="197" t="str">
        <f>IF(NOT(ISBLANK('AI (Maturity Eval)'!AM50)),'AI (Maturity Eval)'!AM50,"")</f>
        <v>N</v>
      </c>
      <c r="L40" s="197" t="str">
        <f>IF(NOT(ISBLANK('AI (Maturity Eval)'!AR50)),'AI (Maturity Eval)'!AR50,"")</f>
        <v>N</v>
      </c>
      <c r="M40" s="197" t="str">
        <f>IF(NOT(ISBLANK('AI (Maturity Eval)'!AW50)),'AI (Maturity Eval)'!AW50,"")</f>
        <v>N/A</v>
      </c>
      <c r="N40" s="197" t="str">
        <f>IF(NOT(ISBLANK('AI (Maturity Eval)'!BB50)),'AI (Maturity Eval)'!BB50,"")</f>
        <v>TBD</v>
      </c>
      <c r="O40" s="197" t="str">
        <f>IF(NOT(ISBLANK('AI (Maturity Eval)'!BG50)),'AI (Maturity Eval)'!BG50,"")</f>
        <v>TBD</v>
      </c>
      <c r="P40" s="197" t="str">
        <f>IF(NOT(ISBLANK('AI (Maturity Eval)'!BL50)),'AI (Maturity Eval)'!BL50,"")</f>
        <v>Partial</v>
      </c>
      <c r="Q40" s="219" t="str">
        <f>IF(NOT(ISBLANK('AI (Maturity Eval)'!BQ50)),'AI (Maturity Eval)'!BQ50,"")</f>
        <v>TBD</v>
      </c>
      <c r="R40" s="219" t="str">
        <f>IF(NOT(ISBLANK('AI (Maturity Eval)'!BV50)),'AI (Maturity Eval)'!BV50,"")</f>
        <v>N/A</v>
      </c>
      <c r="S40" s="219" t="str">
        <f>IF(NOT(ISBLANK('AI (Maturity Eval)'!CA50)),'AI (Maturity Eval)'!CA50,"")</f>
        <v>N/A</v>
      </c>
      <c r="T40" s="219" t="str">
        <f>IF(NOT(ISBLANK('AI (Maturity Eval)'!CF50)),'AI (Maturity Eval)'!CF50,"")</f>
        <v>TBD</v>
      </c>
    </row>
    <row r="41" spans="2:20" ht="15" customHeight="1">
      <c r="B41" s="35" t="s">
        <v>76</v>
      </c>
      <c r="C41" s="78" t="s">
        <v>190</v>
      </c>
      <c r="D41" s="197" t="str">
        <f>IF(NOT(ISBLANK('AI (Maturity Eval)'!D51)),'AI (Maturity Eval)'!D51,"")</f>
        <v>TBD</v>
      </c>
      <c r="E41" s="197" t="str">
        <f>IF(NOT(ISBLANK('AI (Maturity Eval)'!I51)),'AI (Maturity Eval)'!I51,"")</f>
        <v>Partial</v>
      </c>
      <c r="F41" s="197" t="str">
        <f>IF(NOT(ISBLANK('AI (Maturity Eval)'!N51)),'AI (Maturity Eval)'!N51,"")</f>
        <v>Partial</v>
      </c>
      <c r="G41" s="197" t="str">
        <f>IF(NOT(ISBLANK('AI (Maturity Eval)'!S51)),'AI (Maturity Eval)'!S51,"")</f>
        <v>Partial</v>
      </c>
      <c r="H41" s="197" t="str">
        <f>IF(NOT(ISBLANK('AI (Maturity Eval)'!X51)),'AI (Maturity Eval)'!X51,"")</f>
        <v>?</v>
      </c>
      <c r="I41" s="197" t="str">
        <f>IF(NOT(ISBLANK('AI (Maturity Eval)'!AC51)),'AI (Maturity Eval)'!AC51,"")</f>
        <v>N/A</v>
      </c>
      <c r="J41" s="197" t="str">
        <f>IF(NOT(ISBLANK('AI (Maturity Eval)'!AH51)),'AI (Maturity Eval)'!AH51,"")</f>
        <v>N</v>
      </c>
      <c r="K41" s="197" t="str">
        <f>IF(NOT(ISBLANK('AI (Maturity Eval)'!AM51)),'AI (Maturity Eval)'!AM51,"")</f>
        <v>N</v>
      </c>
      <c r="L41" s="197" t="str">
        <f>IF(NOT(ISBLANK('AI (Maturity Eval)'!AR51)),'AI (Maturity Eval)'!AR51,"")</f>
        <v>N</v>
      </c>
      <c r="M41" s="197" t="str">
        <f>IF(NOT(ISBLANK('AI (Maturity Eval)'!AW51)),'AI (Maturity Eval)'!AW51,"")</f>
        <v>N/A</v>
      </c>
      <c r="N41" s="197" t="str">
        <f>IF(NOT(ISBLANK('AI (Maturity Eval)'!BB51)),'AI (Maturity Eval)'!BB51,"")</f>
        <v>TBD</v>
      </c>
      <c r="O41" s="197" t="str">
        <f>IF(NOT(ISBLANK('AI (Maturity Eval)'!BG51)),'AI (Maturity Eval)'!BG51,"")</f>
        <v>TBD</v>
      </c>
      <c r="P41" s="197" t="str">
        <f>IF(NOT(ISBLANK('AI (Maturity Eval)'!BL51)),'AI (Maturity Eval)'!BL51,"")</f>
        <v>Partial</v>
      </c>
      <c r="Q41" s="219" t="str">
        <f>IF(NOT(ISBLANK('AI (Maturity Eval)'!BQ51)),'AI (Maturity Eval)'!BQ51,"")</f>
        <v>TBD</v>
      </c>
      <c r="R41" s="219" t="str">
        <f>IF(NOT(ISBLANK('AI (Maturity Eval)'!BV51)),'AI (Maturity Eval)'!BV51,"")</f>
        <v>N/A</v>
      </c>
      <c r="S41" s="219" t="str">
        <f>IF(NOT(ISBLANK('AI (Maturity Eval)'!CA51)),'AI (Maturity Eval)'!CA51,"")</f>
        <v>Partial</v>
      </c>
      <c r="T41" s="219" t="str">
        <f>IF(NOT(ISBLANK('AI (Maturity Eval)'!CF51)),'AI (Maturity Eval)'!CF51,"")</f>
        <v>TBD</v>
      </c>
    </row>
    <row r="42" spans="2:20" ht="15" customHeight="1">
      <c r="B42" s="35" t="s">
        <v>76</v>
      </c>
      <c r="C42" s="78" t="s">
        <v>191</v>
      </c>
      <c r="D42" s="197" t="str">
        <f>IF(NOT(ISBLANK('AI (Maturity Eval)'!D52)),'AI (Maturity Eval)'!D52,"")</f>
        <v>TBD</v>
      </c>
      <c r="E42" s="197" t="str">
        <f>IF(NOT(ISBLANK('AI (Maturity Eval)'!I52)),'AI (Maturity Eval)'!I52,"")</f>
        <v>Partial</v>
      </c>
      <c r="F42" s="197" t="str">
        <f>IF(NOT(ISBLANK('AI (Maturity Eval)'!N52)),'AI (Maturity Eval)'!N52,"")</f>
        <v>Partial</v>
      </c>
      <c r="G42" s="197" t="str">
        <f>IF(NOT(ISBLANK('AI (Maturity Eval)'!S52)),'AI (Maturity Eval)'!S52,"")</f>
        <v>Partial</v>
      </c>
      <c r="H42" s="197" t="str">
        <f>IF(NOT(ISBLANK('AI (Maturity Eval)'!X52)),'AI (Maturity Eval)'!X52,"")</f>
        <v>?</v>
      </c>
      <c r="I42" s="197" t="str">
        <f>IF(NOT(ISBLANK('AI (Maturity Eval)'!AC52)),'AI (Maturity Eval)'!AC52,"")</f>
        <v>N/A</v>
      </c>
      <c r="J42" s="197" t="str">
        <f>IF(NOT(ISBLANK('AI (Maturity Eval)'!AH52)),'AI (Maturity Eval)'!AH52,"")</f>
        <v>N</v>
      </c>
      <c r="K42" s="197" t="str">
        <f>IF(NOT(ISBLANK('AI (Maturity Eval)'!AM52)),'AI (Maturity Eval)'!AM52,"")</f>
        <v>N</v>
      </c>
      <c r="L42" s="197" t="str">
        <f>IF(NOT(ISBLANK('AI (Maturity Eval)'!AR52)),'AI (Maturity Eval)'!AR52,"")</f>
        <v>N</v>
      </c>
      <c r="M42" s="197" t="str">
        <f>IF(NOT(ISBLANK('AI (Maturity Eval)'!AW52)),'AI (Maturity Eval)'!AW52,"")</f>
        <v>N/A</v>
      </c>
      <c r="N42" s="197" t="str">
        <f>IF(NOT(ISBLANK('AI (Maturity Eval)'!BB52)),'AI (Maturity Eval)'!BB52,"")</f>
        <v>TBD</v>
      </c>
      <c r="O42" s="197" t="str">
        <f>IF(NOT(ISBLANK('AI (Maturity Eval)'!BG52)),'AI (Maturity Eval)'!BG52,"")</f>
        <v>TBD</v>
      </c>
      <c r="P42" s="197" t="str">
        <f>IF(NOT(ISBLANK('AI (Maturity Eval)'!BL52)),'AI (Maturity Eval)'!BL52,"")</f>
        <v>Partial</v>
      </c>
      <c r="Q42" s="219" t="str">
        <f>IF(NOT(ISBLANK('AI (Maturity Eval)'!BQ52)),'AI (Maturity Eval)'!BQ52,"")</f>
        <v>TBD</v>
      </c>
      <c r="R42" s="219" t="str">
        <f>IF(NOT(ISBLANK('AI (Maturity Eval)'!BV52)),'AI (Maturity Eval)'!BV52,"")</f>
        <v>N/A</v>
      </c>
      <c r="S42" s="219" t="str">
        <f>IF(NOT(ISBLANK('AI (Maturity Eval)'!CA52)),'AI (Maturity Eval)'!CA52,"")</f>
        <v>N</v>
      </c>
      <c r="T42" s="219" t="str">
        <f>IF(NOT(ISBLANK('AI (Maturity Eval)'!CF52)),'AI (Maturity Eval)'!CF52,"")</f>
        <v>TBD</v>
      </c>
    </row>
    <row r="43" spans="2:20" ht="15" customHeight="1">
      <c r="B43" s="35" t="s">
        <v>76</v>
      </c>
      <c r="C43" s="50" t="s">
        <v>99</v>
      </c>
      <c r="D43" s="197" t="str">
        <f>IF(NOT(ISBLANK('AI (Maturity Eval)'!D53)),'AI (Maturity Eval)'!D53,"")</f>
        <v>TBD</v>
      </c>
      <c r="E43" s="197" t="str">
        <f>IF(NOT(ISBLANK('AI (Maturity Eval)'!I53)),'AI (Maturity Eval)'!I53,"")</f>
        <v>Partial</v>
      </c>
      <c r="F43" s="197" t="str">
        <f>IF(NOT(ISBLANK('AI (Maturity Eval)'!N53)),'AI (Maturity Eval)'!N53,"")</f>
        <v>Partial</v>
      </c>
      <c r="G43" s="197" t="str">
        <f>IF(NOT(ISBLANK('AI (Maturity Eval)'!S53)),'AI (Maturity Eval)'!S53,"")</f>
        <v>Partial</v>
      </c>
      <c r="H43" s="197" t="str">
        <f>IF(NOT(ISBLANK('AI (Maturity Eval)'!X53)),'AI (Maturity Eval)'!X53,"")</f>
        <v>?</v>
      </c>
      <c r="I43" s="197" t="str">
        <f>IF(NOT(ISBLANK('AI (Maturity Eval)'!AC53)),'AI (Maturity Eval)'!AC53,"")</f>
        <v>N</v>
      </c>
      <c r="J43" s="197" t="str">
        <f>IF(NOT(ISBLANK('AI (Maturity Eval)'!AH53)),'AI (Maturity Eval)'!AH53,"")</f>
        <v>N</v>
      </c>
      <c r="K43" s="197" t="str">
        <f>IF(NOT(ISBLANK('AI (Maturity Eval)'!AM53)),'AI (Maturity Eval)'!AM53,"")</f>
        <v>N</v>
      </c>
      <c r="L43" s="197" t="str">
        <f>IF(NOT(ISBLANK('AI (Maturity Eval)'!AR53)),'AI (Maturity Eval)'!AR53,"")</f>
        <v>N</v>
      </c>
      <c r="M43" s="197" t="str">
        <f>IF(NOT(ISBLANK('AI (Maturity Eval)'!AW53)),'AI (Maturity Eval)'!AW53,"")</f>
        <v>Y</v>
      </c>
      <c r="N43" s="197" t="str">
        <f>IF(NOT(ISBLANK('AI (Maturity Eval)'!BB53)),'AI (Maturity Eval)'!BB53,"")</f>
        <v>TBD</v>
      </c>
      <c r="O43" s="197" t="str">
        <f>IF(NOT(ISBLANK('AI (Maturity Eval)'!BG53)),'AI (Maturity Eval)'!BG53,"")</f>
        <v>TBD</v>
      </c>
      <c r="P43" s="197" t="str">
        <f>IF(NOT(ISBLANK('AI (Maturity Eval)'!BL53)),'AI (Maturity Eval)'!BL53,"")</f>
        <v>N</v>
      </c>
      <c r="Q43" s="219" t="str">
        <f>IF(NOT(ISBLANK('AI (Maturity Eval)'!BQ53)),'AI (Maturity Eval)'!BQ53,"")</f>
        <v>TBD</v>
      </c>
      <c r="R43" s="219" t="str">
        <f>IF(NOT(ISBLANK('AI (Maturity Eval)'!BV53)),'AI (Maturity Eval)'!BV53,"")</f>
        <v>N/A</v>
      </c>
      <c r="S43" s="219" t="str">
        <f>IF(NOT(ISBLANK('AI (Maturity Eval)'!CA53)),'AI (Maturity Eval)'!CA53,"")</f>
        <v>Partial</v>
      </c>
      <c r="T43" s="219" t="str">
        <f>IF(NOT(ISBLANK('AI (Maturity Eval)'!CF53)),'AI (Maturity Eval)'!CF53,"")</f>
        <v>?</v>
      </c>
    </row>
    <row r="44" spans="2:20" ht="15" customHeight="1">
      <c r="B44" s="35" t="s">
        <v>76</v>
      </c>
      <c r="C44" s="42" t="s">
        <v>101</v>
      </c>
      <c r="D44" s="197" t="str">
        <f>IF(NOT(ISBLANK('AI (Maturity Eval)'!D54)),'AI (Maturity Eval)'!D54,"")</f>
        <v>TBD</v>
      </c>
      <c r="E44" s="197" t="str">
        <f>IF(NOT(ISBLANK('AI (Maturity Eval)'!I54)),'AI (Maturity Eval)'!I54,"")</f>
        <v>Partial</v>
      </c>
      <c r="F44" s="197" t="str">
        <f>IF(NOT(ISBLANK('AI (Maturity Eval)'!N54)),'AI (Maturity Eval)'!N54,"")</f>
        <v>Partial</v>
      </c>
      <c r="G44" s="197" t="str">
        <f>IF(NOT(ISBLANK('AI (Maturity Eval)'!S54)),'AI (Maturity Eval)'!S54,"")</f>
        <v>Partial</v>
      </c>
      <c r="H44" s="197" t="str">
        <f>IF(NOT(ISBLANK('AI (Maturity Eval)'!X54)),'AI (Maturity Eval)'!X54,"")</f>
        <v>?</v>
      </c>
      <c r="I44" s="197" t="str">
        <f>IF(NOT(ISBLANK('AI (Maturity Eval)'!AC54)),'AI (Maturity Eval)'!AC54,"")</f>
        <v>N</v>
      </c>
      <c r="J44" s="197" t="str">
        <f>IF(NOT(ISBLANK('AI (Maturity Eval)'!AH54)),'AI (Maturity Eval)'!AH54,"")</f>
        <v>Y</v>
      </c>
      <c r="K44" s="197" t="str">
        <f>IF(NOT(ISBLANK('AI (Maturity Eval)'!AM54)),'AI (Maturity Eval)'!AM54,"")</f>
        <v>Y</v>
      </c>
      <c r="L44" s="197" t="str">
        <f>IF(NOT(ISBLANK('AI (Maturity Eval)'!AR54)),'AI (Maturity Eval)'!AR54,"")</f>
        <v>N</v>
      </c>
      <c r="M44" s="197" t="str">
        <f>IF(NOT(ISBLANK('AI (Maturity Eval)'!AW54)),'AI (Maturity Eval)'!AW54,"")</f>
        <v>Y</v>
      </c>
      <c r="N44" s="197" t="str">
        <f>IF(NOT(ISBLANK('AI (Maturity Eval)'!BB54)),'AI (Maturity Eval)'!BB54,"")</f>
        <v>TBD</v>
      </c>
      <c r="O44" s="197" t="str">
        <f>IF(NOT(ISBLANK('AI (Maturity Eval)'!BG54)),'AI (Maturity Eval)'!BG54,"")</f>
        <v>TBD</v>
      </c>
      <c r="P44" s="197" t="str">
        <f>IF(NOT(ISBLANK('AI (Maturity Eval)'!BL54)),'AI (Maturity Eval)'!BL54,"")</f>
        <v>?</v>
      </c>
      <c r="Q44" s="219" t="str">
        <f>IF(NOT(ISBLANK('AI (Maturity Eval)'!BQ54)),'AI (Maturity Eval)'!BQ54,"")</f>
        <v>TBD</v>
      </c>
      <c r="R44" s="219" t="str">
        <f>IF(NOT(ISBLANK('AI (Maturity Eval)'!BV54)),'AI (Maturity Eval)'!BV54,"")</f>
        <v>N/A</v>
      </c>
      <c r="S44" s="219" t="str">
        <f>IF(NOT(ISBLANK('AI (Maturity Eval)'!CA54)),'AI (Maturity Eval)'!CA54,"")</f>
        <v>N</v>
      </c>
      <c r="T44" s="219" t="str">
        <f>IF(NOT(ISBLANK('AI (Maturity Eval)'!CF54)),'AI (Maturity Eval)'!CF54,"")</f>
        <v>TBD</v>
      </c>
    </row>
    <row r="45" spans="2:20" ht="15" customHeight="1">
      <c r="B45" s="35" t="s">
        <v>76</v>
      </c>
      <c r="C45" s="42" t="s">
        <v>103</v>
      </c>
      <c r="D45" s="197" t="str">
        <f>IF(NOT(ISBLANK('AI (Maturity Eval)'!D55)),'AI (Maturity Eval)'!D55,"")</f>
        <v>TBD</v>
      </c>
      <c r="E45" s="197" t="str">
        <f>IF(NOT(ISBLANK('AI (Maturity Eval)'!I55)),'AI (Maturity Eval)'!I55,"")</f>
        <v>Y</v>
      </c>
      <c r="F45" s="197" t="str">
        <f>IF(NOT(ISBLANK('AI (Maturity Eval)'!N55)),'AI (Maturity Eval)'!N55,"")</f>
        <v>Y</v>
      </c>
      <c r="G45" s="197" t="str">
        <f>IF(NOT(ISBLANK('AI (Maturity Eval)'!S55)),'AI (Maturity Eval)'!S55,"")</f>
        <v>Y</v>
      </c>
      <c r="H45" s="197" t="str">
        <f>IF(NOT(ISBLANK('AI (Maturity Eval)'!X55)),'AI (Maturity Eval)'!X55,"")</f>
        <v>N</v>
      </c>
      <c r="I45" s="197" t="str">
        <f>IF(NOT(ISBLANK('AI (Maturity Eval)'!AC55)),'AI (Maturity Eval)'!AC55,"")</f>
        <v>N</v>
      </c>
      <c r="J45" s="197" t="str">
        <f>IF(NOT(ISBLANK('AI (Maturity Eval)'!AH55)),'AI (Maturity Eval)'!AH55,"")</f>
        <v>N/A</v>
      </c>
      <c r="K45" s="197" t="str">
        <f>IF(NOT(ISBLANK('AI (Maturity Eval)'!AM55)),'AI (Maturity Eval)'!AM55,"")</f>
        <v>N/A</v>
      </c>
      <c r="L45" s="197" t="str">
        <f>IF(NOT(ISBLANK('AI (Maturity Eval)'!AR55)),'AI (Maturity Eval)'!AR55,"")</f>
        <v>N</v>
      </c>
      <c r="M45" s="197" t="str">
        <f>IF(NOT(ISBLANK('AI (Maturity Eval)'!AW55)),'AI (Maturity Eval)'!AW55,"")</f>
        <v>Y</v>
      </c>
      <c r="N45" s="197" t="str">
        <f>IF(NOT(ISBLANK('AI (Maturity Eval)'!BB55)),'AI (Maturity Eval)'!BB55,"")</f>
        <v>TBD</v>
      </c>
      <c r="O45" s="197" t="str">
        <f>IF(NOT(ISBLANK('AI (Maturity Eval)'!BG55)),'AI (Maturity Eval)'!BG55,"")</f>
        <v>TBD</v>
      </c>
      <c r="P45" s="197" t="str">
        <f>IF(NOT(ISBLANK('AI (Maturity Eval)'!BL55)),'AI (Maturity Eval)'!BL55,"")</f>
        <v>N</v>
      </c>
      <c r="Q45" s="219" t="str">
        <f>IF(NOT(ISBLANK('AI (Maturity Eval)'!BQ55)),'AI (Maturity Eval)'!BQ55,"")</f>
        <v>TBD</v>
      </c>
      <c r="R45" s="219" t="str">
        <f>IF(NOT(ISBLANK('AI (Maturity Eval)'!BV55)),'AI (Maturity Eval)'!BV55,"")</f>
        <v>N</v>
      </c>
      <c r="S45" s="219" t="str">
        <f>IF(NOT(ISBLANK('AI (Maturity Eval)'!CA55)),'AI (Maturity Eval)'!CA55,"")</f>
        <v>N</v>
      </c>
      <c r="T45" s="219" t="str">
        <f>IF(NOT(ISBLANK('AI (Maturity Eval)'!CF55)),'AI (Maturity Eval)'!CF55,"")</f>
        <v>TBD</v>
      </c>
    </row>
    <row r="46" spans="2:20" ht="15" customHeight="1">
      <c r="B46" s="35" t="s">
        <v>76</v>
      </c>
      <c r="C46" s="42" t="s">
        <v>105</v>
      </c>
      <c r="D46" s="197" t="str">
        <f>IF(NOT(ISBLANK('AI (Maturity Eval)'!D56)),'AI (Maturity Eval)'!D56,"")</f>
        <v>TBD</v>
      </c>
      <c r="E46" s="197" t="str">
        <f>IF(NOT(ISBLANK('AI (Maturity Eval)'!I56)),'AI (Maturity Eval)'!I56,"")</f>
        <v>Y</v>
      </c>
      <c r="F46" s="197" t="str">
        <f>IF(NOT(ISBLANK('AI (Maturity Eval)'!N56)),'AI (Maturity Eval)'!N56,"")</f>
        <v>Y</v>
      </c>
      <c r="G46" s="197" t="str">
        <f>IF(NOT(ISBLANK('AI (Maturity Eval)'!S56)),'AI (Maturity Eval)'!S56,"")</f>
        <v>Y</v>
      </c>
      <c r="H46" s="197" t="str">
        <f>IF(NOT(ISBLANK('AI (Maturity Eval)'!X56)),'AI (Maturity Eval)'!X56,"")</f>
        <v>Y</v>
      </c>
      <c r="I46" s="197" t="str">
        <f>IF(NOT(ISBLANK('AI (Maturity Eval)'!AC56)),'AI (Maturity Eval)'!AC56,"")</f>
        <v>N</v>
      </c>
      <c r="J46" s="197" t="str">
        <f>IF(NOT(ISBLANK('AI (Maturity Eval)'!AH56)),'AI (Maturity Eval)'!AH56,"")</f>
        <v>N/A</v>
      </c>
      <c r="K46" s="197" t="str">
        <f>IF(NOT(ISBLANK('AI (Maturity Eval)'!AM56)),'AI (Maturity Eval)'!AM56,"")</f>
        <v>N/A</v>
      </c>
      <c r="L46" s="197" t="str">
        <f>IF(NOT(ISBLANK('AI (Maturity Eval)'!AR56)),'AI (Maturity Eval)'!AR56,"")</f>
        <v>N</v>
      </c>
      <c r="M46" s="197" t="str">
        <f>IF(NOT(ISBLANK('AI (Maturity Eval)'!AW56)),'AI (Maturity Eval)'!AW56,"")</f>
        <v>Y</v>
      </c>
      <c r="N46" s="197" t="str">
        <f>IF(NOT(ISBLANK('AI (Maturity Eval)'!BB56)),'AI (Maturity Eval)'!BB56,"")</f>
        <v>TBD</v>
      </c>
      <c r="O46" s="197" t="str">
        <f>IF(NOT(ISBLANK('AI (Maturity Eval)'!BG56)),'AI (Maturity Eval)'!BG56,"")</f>
        <v>TBD</v>
      </c>
      <c r="P46" s="197" t="str">
        <f>IF(NOT(ISBLANK('AI (Maturity Eval)'!BL56)),'AI (Maturity Eval)'!BL56,"")</f>
        <v>N</v>
      </c>
      <c r="Q46" s="219" t="str">
        <f>IF(NOT(ISBLANK('AI (Maturity Eval)'!BQ56)),'AI (Maturity Eval)'!BQ56,"")</f>
        <v>TBD</v>
      </c>
      <c r="R46" s="219" t="str">
        <f>IF(NOT(ISBLANK('AI (Maturity Eval)'!BV56)),'AI (Maturity Eval)'!BV56,"")</f>
        <v>Y</v>
      </c>
      <c r="S46" s="219" t="str">
        <f>IF(NOT(ISBLANK('AI (Maturity Eval)'!CA56)),'AI (Maturity Eval)'!CA56,"")</f>
        <v>Partial</v>
      </c>
      <c r="T46" s="219" t="str">
        <f>IF(NOT(ISBLANK('AI (Maturity Eval)'!CF56)),'AI (Maturity Eval)'!CF56,"")</f>
        <v>Y</v>
      </c>
    </row>
    <row r="47" spans="2:20" ht="15" customHeight="1">
      <c r="B47" s="35" t="s">
        <v>107</v>
      </c>
      <c r="C47" s="39" t="s">
        <v>109</v>
      </c>
      <c r="D47" s="197" t="str">
        <f>IF(NOT(ISBLANK('AI (Maturity Eval)'!D57)),'AI (Maturity Eval)'!D57,"")</f>
        <v>N/A</v>
      </c>
      <c r="E47" s="197" t="str">
        <f>IF(NOT(ISBLANK('AI (Maturity Eval)'!I57)),'AI (Maturity Eval)'!I57,"")</f>
        <v>N</v>
      </c>
      <c r="F47" s="197" t="str">
        <f>IF(NOT(ISBLANK('AI (Maturity Eval)'!N57)),'AI (Maturity Eval)'!N57,"")</f>
        <v>N</v>
      </c>
      <c r="G47" s="197" t="str">
        <f>IF(NOT(ISBLANK('AI (Maturity Eval)'!S57)),'AI (Maturity Eval)'!S57,"")</f>
        <v>N</v>
      </c>
      <c r="H47" s="197" t="str">
        <f>IF(NOT(ISBLANK('AI (Maturity Eval)'!X57)),'AI (Maturity Eval)'!X57,"")</f>
        <v>N</v>
      </c>
      <c r="I47" s="197" t="str">
        <f>IF(NOT(ISBLANK('AI (Maturity Eval)'!AC57)),'AI (Maturity Eval)'!AC57,"")</f>
        <v>N</v>
      </c>
      <c r="J47" s="197" t="str">
        <f>IF(NOT(ISBLANK('AI (Maturity Eval)'!AH57)),'AI (Maturity Eval)'!AH57,"")</f>
        <v>Y</v>
      </c>
      <c r="K47" s="197" t="str">
        <f>IF(NOT(ISBLANK('AI (Maturity Eval)'!AM57)),'AI (Maturity Eval)'!AM57,"")</f>
        <v>Y</v>
      </c>
      <c r="L47" s="197" t="str">
        <f>IF(NOT(ISBLANK('AI (Maturity Eval)'!AR57)),'AI (Maturity Eval)'!AR57,"")</f>
        <v>N</v>
      </c>
      <c r="M47" s="197" t="str">
        <f>IF(NOT(ISBLANK('AI (Maturity Eval)'!AW57)),'AI (Maturity Eval)'!AW57,"")</f>
        <v>N</v>
      </c>
      <c r="N47" s="197" t="str">
        <f>IF(NOT(ISBLANK('AI (Maturity Eval)'!BB57)),'AI (Maturity Eval)'!BB57,"")</f>
        <v>TBD</v>
      </c>
      <c r="O47" s="197" t="str">
        <f>IF(NOT(ISBLANK('AI (Maturity Eval)'!BG57)),'AI (Maturity Eval)'!BG57,"")</f>
        <v>TBD</v>
      </c>
      <c r="P47" s="197" t="str">
        <f>IF(NOT(ISBLANK('AI (Maturity Eval)'!BL57)),'AI (Maturity Eval)'!BL57,"")</f>
        <v>N</v>
      </c>
      <c r="Q47" s="219" t="str">
        <f>IF(NOT(ISBLANK('AI (Maturity Eval)'!BQ57)),'AI (Maturity Eval)'!BQ57,"")</f>
        <v>TBD</v>
      </c>
      <c r="R47" s="219" t="str">
        <f>IF(NOT(ISBLANK('AI (Maturity Eval)'!BV57)),'AI (Maturity Eval)'!BV57,"")</f>
        <v>N</v>
      </c>
      <c r="S47" s="219" t="str">
        <f>IF(NOT(ISBLANK('AI (Maturity Eval)'!CA57)),'AI (Maturity Eval)'!CA57,"")</f>
        <v>N</v>
      </c>
      <c r="T47" s="219" t="str">
        <f>IF(NOT(ISBLANK('AI (Maturity Eval)'!CF57)),'AI (Maturity Eval)'!CF57,"")</f>
        <v/>
      </c>
    </row>
    <row r="48" spans="2:20" ht="15" customHeight="1">
      <c r="B48" s="35" t="s">
        <v>107</v>
      </c>
      <c r="C48" s="39" t="s">
        <v>111</v>
      </c>
      <c r="D48" s="197" t="str">
        <f>IF(NOT(ISBLANK('AI (Maturity Eval)'!D58)),'AI (Maturity Eval)'!D58,"")</f>
        <v>N/A</v>
      </c>
      <c r="E48" s="197" t="str">
        <f>IF(NOT(ISBLANK('AI (Maturity Eval)'!I58)),'AI (Maturity Eval)'!I58,"")</f>
        <v>N</v>
      </c>
      <c r="F48" s="197" t="str">
        <f>IF(NOT(ISBLANK('AI (Maturity Eval)'!N58)),'AI (Maturity Eval)'!N58,"")</f>
        <v>N</v>
      </c>
      <c r="G48" s="197" t="str">
        <f>IF(NOT(ISBLANK('AI (Maturity Eval)'!S58)),'AI (Maturity Eval)'!S58,"")</f>
        <v>N</v>
      </c>
      <c r="H48" s="197" t="str">
        <f>IF(NOT(ISBLANK('AI (Maturity Eval)'!X58)),'AI (Maturity Eval)'!X58,"")</f>
        <v>N</v>
      </c>
      <c r="I48" s="197" t="str">
        <f>IF(NOT(ISBLANK('AI (Maturity Eval)'!AC58)),'AI (Maturity Eval)'!AC58,"")</f>
        <v>N</v>
      </c>
      <c r="J48" s="197" t="str">
        <f>IF(NOT(ISBLANK('AI (Maturity Eval)'!AH58)),'AI (Maturity Eval)'!AH58,"")</f>
        <v>Y</v>
      </c>
      <c r="K48" s="197" t="str">
        <f>IF(NOT(ISBLANK('AI (Maturity Eval)'!AM58)),'AI (Maturity Eval)'!AM58,"")</f>
        <v>Y</v>
      </c>
      <c r="L48" s="197" t="str">
        <f>IF(NOT(ISBLANK('AI (Maturity Eval)'!AR58)),'AI (Maturity Eval)'!AR58,"")</f>
        <v>N</v>
      </c>
      <c r="M48" s="197" t="str">
        <f>IF(NOT(ISBLANK('AI (Maturity Eval)'!AW58)),'AI (Maturity Eval)'!AW58,"")</f>
        <v>N</v>
      </c>
      <c r="N48" s="197" t="str">
        <f>IF(NOT(ISBLANK('AI (Maturity Eval)'!BB58)),'AI (Maturity Eval)'!BB58,"")</f>
        <v>TBD</v>
      </c>
      <c r="O48" s="197" t="str">
        <f>IF(NOT(ISBLANK('AI (Maturity Eval)'!BG58)),'AI (Maturity Eval)'!BG58,"")</f>
        <v>TBD</v>
      </c>
      <c r="P48" s="197" t="str">
        <f>IF(NOT(ISBLANK('AI (Maturity Eval)'!BL58)),'AI (Maturity Eval)'!BL58,"")</f>
        <v>N</v>
      </c>
      <c r="Q48" s="219" t="str">
        <f>IF(NOT(ISBLANK('AI (Maturity Eval)'!BQ58)),'AI (Maturity Eval)'!BQ58,"")</f>
        <v>TBD</v>
      </c>
      <c r="R48" s="219" t="str">
        <f>IF(NOT(ISBLANK('AI (Maturity Eval)'!BV58)),'AI (Maturity Eval)'!BV58,"")</f>
        <v>N</v>
      </c>
      <c r="S48" s="219" t="str">
        <f>IF(NOT(ISBLANK('AI (Maturity Eval)'!CA58)),'AI (Maturity Eval)'!CA58,"")</f>
        <v>N</v>
      </c>
      <c r="T48" s="219" t="str">
        <f>IF(NOT(ISBLANK('AI (Maturity Eval)'!CF58)),'AI (Maturity Eval)'!CF58,"")</f>
        <v/>
      </c>
    </row>
    <row r="49" spans="2:20" ht="15" customHeight="1">
      <c r="B49" s="35" t="s">
        <v>107</v>
      </c>
      <c r="C49" s="42" t="s">
        <v>113</v>
      </c>
      <c r="D49" s="197" t="str">
        <f>IF(NOT(ISBLANK('AI (Maturity Eval)'!D59)),'AI (Maturity Eval)'!D59,"")</f>
        <v>N/A</v>
      </c>
      <c r="E49" s="197" t="str">
        <f>IF(NOT(ISBLANK('AI (Maturity Eval)'!I59)),'AI (Maturity Eval)'!I59,"")</f>
        <v>N</v>
      </c>
      <c r="F49" s="197" t="str">
        <f>IF(NOT(ISBLANK('AI (Maturity Eval)'!N59)),'AI (Maturity Eval)'!N59,"")</f>
        <v>N</v>
      </c>
      <c r="G49" s="197" t="str">
        <f>IF(NOT(ISBLANK('AI (Maturity Eval)'!S59)),'AI (Maturity Eval)'!S59,"")</f>
        <v>N</v>
      </c>
      <c r="H49" s="197" t="str">
        <f>IF(NOT(ISBLANK('AI (Maturity Eval)'!X59)),'AI (Maturity Eval)'!X59,"")</f>
        <v>N</v>
      </c>
      <c r="I49" s="197" t="str">
        <f>IF(NOT(ISBLANK('AI (Maturity Eval)'!AC59)),'AI (Maturity Eval)'!AC59,"")</f>
        <v>N</v>
      </c>
      <c r="J49" s="197" t="str">
        <f>IF(NOT(ISBLANK('AI (Maturity Eval)'!AH59)),'AI (Maturity Eval)'!AH59,"")</f>
        <v>N</v>
      </c>
      <c r="K49" s="197" t="str">
        <f>IF(NOT(ISBLANK('AI (Maturity Eval)'!AM59)),'AI (Maturity Eval)'!AM59,"")</f>
        <v>N</v>
      </c>
      <c r="L49" s="197" t="str">
        <f>IF(NOT(ISBLANK('AI (Maturity Eval)'!AR59)),'AI (Maturity Eval)'!AR59,"")</f>
        <v>N</v>
      </c>
      <c r="M49" s="197" t="str">
        <f>IF(NOT(ISBLANK('AI (Maturity Eval)'!AW59)),'AI (Maturity Eval)'!AW59,"")</f>
        <v>N</v>
      </c>
      <c r="N49" s="197" t="str">
        <f>IF(NOT(ISBLANK('AI (Maturity Eval)'!BB59)),'AI (Maturity Eval)'!BB59,"")</f>
        <v>TBD</v>
      </c>
      <c r="O49" s="197" t="str">
        <f>IF(NOT(ISBLANK('AI (Maturity Eval)'!BG59)),'AI (Maturity Eval)'!BG59,"")</f>
        <v>TBD</v>
      </c>
      <c r="P49" s="197" t="str">
        <f>IF(NOT(ISBLANK('AI (Maturity Eval)'!BL59)),'AI (Maturity Eval)'!BL59,"")</f>
        <v>N</v>
      </c>
      <c r="Q49" s="219" t="str">
        <f>IF(NOT(ISBLANK('AI (Maturity Eval)'!BQ59)),'AI (Maturity Eval)'!BQ59,"")</f>
        <v>TBD</v>
      </c>
      <c r="R49" s="219" t="str">
        <f>IF(NOT(ISBLANK('AI (Maturity Eval)'!BV59)),'AI (Maturity Eval)'!BV59,"")</f>
        <v>N</v>
      </c>
      <c r="S49" s="219" t="str">
        <f>IF(NOT(ISBLANK('AI (Maturity Eval)'!CA59)),'AI (Maturity Eval)'!CA59,"")</f>
        <v>N</v>
      </c>
      <c r="T49" s="219" t="str">
        <f>IF(NOT(ISBLANK('AI (Maturity Eval)'!CF59)),'AI (Maturity Eval)'!CF59,"")</f>
        <v/>
      </c>
    </row>
    <row r="50" spans="2:20" ht="15" customHeight="1">
      <c r="B50" s="35" t="s">
        <v>107</v>
      </c>
      <c r="C50" s="39" t="s">
        <v>115</v>
      </c>
      <c r="D50" s="197" t="str">
        <f>IF(NOT(ISBLANK('AI (Maturity Eval)'!D60)),'AI (Maturity Eval)'!D60,"")</f>
        <v>N/A</v>
      </c>
      <c r="E50" s="197" t="str">
        <f>IF(NOT(ISBLANK('AI (Maturity Eval)'!I60)),'AI (Maturity Eval)'!I60,"")</f>
        <v>N</v>
      </c>
      <c r="F50" s="197" t="str">
        <f>IF(NOT(ISBLANK('AI (Maturity Eval)'!N60)),'AI (Maturity Eval)'!N60,"")</f>
        <v>N</v>
      </c>
      <c r="G50" s="197" t="str">
        <f>IF(NOT(ISBLANK('AI (Maturity Eval)'!S60)),'AI (Maturity Eval)'!S60,"")</f>
        <v>N</v>
      </c>
      <c r="H50" s="197" t="str">
        <f>IF(NOT(ISBLANK('AI (Maturity Eval)'!X60)),'AI (Maturity Eval)'!X60,"")</f>
        <v>N</v>
      </c>
      <c r="I50" s="197" t="str">
        <f>IF(NOT(ISBLANK('AI (Maturity Eval)'!AC60)),'AI (Maturity Eval)'!AC60,"")</f>
        <v>N</v>
      </c>
      <c r="J50" s="197" t="str">
        <f>IF(NOT(ISBLANK('AI (Maturity Eval)'!AH60)),'AI (Maturity Eval)'!AH60,"")</f>
        <v>Y</v>
      </c>
      <c r="K50" s="197" t="str">
        <f>IF(NOT(ISBLANK('AI (Maturity Eval)'!AM60)),'AI (Maturity Eval)'!AM60,"")</f>
        <v>Y</v>
      </c>
      <c r="L50" s="197" t="str">
        <f>IF(NOT(ISBLANK('AI (Maturity Eval)'!AR60)),'AI (Maturity Eval)'!AR60,"")</f>
        <v>N</v>
      </c>
      <c r="M50" s="197" t="str">
        <f>IF(NOT(ISBLANK('AI (Maturity Eval)'!AW60)),'AI (Maturity Eval)'!AW60,"")</f>
        <v>N</v>
      </c>
      <c r="N50" s="197" t="str">
        <f>IF(NOT(ISBLANK('AI (Maturity Eval)'!BB60)),'AI (Maturity Eval)'!BB60,"")</f>
        <v>TBD</v>
      </c>
      <c r="O50" s="197" t="str">
        <f>IF(NOT(ISBLANK('AI (Maturity Eval)'!BG60)),'AI (Maturity Eval)'!BG60,"")</f>
        <v>TBD</v>
      </c>
      <c r="P50" s="197" t="str">
        <f>IF(NOT(ISBLANK('AI (Maturity Eval)'!BL60)),'AI (Maturity Eval)'!BL60,"")</f>
        <v>N</v>
      </c>
      <c r="Q50" s="219" t="str">
        <f>IF(NOT(ISBLANK('AI (Maturity Eval)'!BQ60)),'AI (Maturity Eval)'!BQ60,"")</f>
        <v>TBD</v>
      </c>
      <c r="R50" s="219" t="str">
        <f>IF(NOT(ISBLANK('AI (Maturity Eval)'!BV60)),'AI (Maturity Eval)'!BV60,"")</f>
        <v>N</v>
      </c>
      <c r="S50" s="219" t="str">
        <f>IF(NOT(ISBLANK('AI (Maturity Eval)'!CA60)),'AI (Maturity Eval)'!CA60,"")</f>
        <v>N</v>
      </c>
      <c r="T50" s="219" t="str">
        <f>IF(NOT(ISBLANK('AI (Maturity Eval)'!CF60)),'AI (Maturity Eval)'!CF60,"")</f>
        <v/>
      </c>
    </row>
    <row r="51" spans="2:20" ht="15" customHeight="1">
      <c r="B51" s="35" t="s">
        <v>107</v>
      </c>
      <c r="C51" s="39" t="s">
        <v>117</v>
      </c>
      <c r="D51" s="197" t="str">
        <f>IF(NOT(ISBLANK('AI (Maturity Eval)'!D61)),'AI (Maturity Eval)'!D61,"")</f>
        <v>N/A</v>
      </c>
      <c r="E51" s="197" t="str">
        <f>IF(NOT(ISBLANK('AI (Maturity Eval)'!I61)),'AI (Maturity Eval)'!I61,"")</f>
        <v>Y</v>
      </c>
      <c r="F51" s="197" t="str">
        <f>IF(NOT(ISBLANK('AI (Maturity Eval)'!N61)),'AI (Maturity Eval)'!N61,"")</f>
        <v>Y</v>
      </c>
      <c r="G51" s="197" t="str">
        <f>IF(NOT(ISBLANK('AI (Maturity Eval)'!S61)),'AI (Maturity Eval)'!S61,"")</f>
        <v>Y</v>
      </c>
      <c r="H51" s="197" t="str">
        <f>IF(NOT(ISBLANK('AI (Maturity Eval)'!X61)),'AI (Maturity Eval)'!X61,"")</f>
        <v>N</v>
      </c>
      <c r="I51" s="197" t="str">
        <f>IF(NOT(ISBLANK('AI (Maturity Eval)'!AC61)),'AI (Maturity Eval)'!AC61,"")</f>
        <v>N</v>
      </c>
      <c r="J51" s="197" t="str">
        <f>IF(NOT(ISBLANK('AI (Maturity Eval)'!AH61)),'AI (Maturity Eval)'!AH61,"")</f>
        <v>Y</v>
      </c>
      <c r="K51" s="197" t="str">
        <f>IF(NOT(ISBLANK('AI (Maturity Eval)'!AM61)),'AI (Maturity Eval)'!AM61,"")</f>
        <v>Y</v>
      </c>
      <c r="L51" s="197" t="str">
        <f>IF(NOT(ISBLANK('AI (Maturity Eval)'!AR61)),'AI (Maturity Eval)'!AR61,"")</f>
        <v>N</v>
      </c>
      <c r="M51" s="197" t="str">
        <f>IF(NOT(ISBLANK('AI (Maturity Eval)'!AW61)),'AI (Maturity Eval)'!AW61,"")</f>
        <v>N</v>
      </c>
      <c r="N51" s="197" t="str">
        <f>IF(NOT(ISBLANK('AI (Maturity Eval)'!BB61)),'AI (Maturity Eval)'!BB61,"")</f>
        <v>TBD</v>
      </c>
      <c r="O51" s="197" t="str">
        <f>IF(NOT(ISBLANK('AI (Maturity Eval)'!BG61)),'AI (Maturity Eval)'!BG61,"")</f>
        <v>TBD</v>
      </c>
      <c r="P51" s="197" t="str">
        <f>IF(NOT(ISBLANK('AI (Maturity Eval)'!BL61)),'AI (Maturity Eval)'!BL61,"")</f>
        <v>N</v>
      </c>
      <c r="Q51" s="219" t="str">
        <f>IF(NOT(ISBLANK('AI (Maturity Eval)'!BQ61)),'AI (Maturity Eval)'!BQ61,"")</f>
        <v>TBD</v>
      </c>
      <c r="R51" s="219" t="str">
        <f>IF(NOT(ISBLANK('AI (Maturity Eval)'!BV61)),'AI (Maturity Eval)'!BV61,"")</f>
        <v>N</v>
      </c>
      <c r="S51" s="219" t="str">
        <f>IF(NOT(ISBLANK('AI (Maturity Eval)'!CA61)),'AI (Maturity Eval)'!CA61,"")</f>
        <v>N</v>
      </c>
      <c r="T51" s="219" t="str">
        <f>IF(NOT(ISBLANK('AI (Maturity Eval)'!CF61)),'AI (Maturity Eval)'!CF61,"")</f>
        <v/>
      </c>
    </row>
    <row r="52" spans="2:20" ht="15" customHeight="1">
      <c r="B52" s="35" t="s">
        <v>107</v>
      </c>
      <c r="C52" s="39" t="s">
        <v>119</v>
      </c>
      <c r="D52" s="197" t="str">
        <f>IF(NOT(ISBLANK('AI (Maturity Eval)'!D62)),'AI (Maturity Eval)'!D62,"")</f>
        <v>N/A</v>
      </c>
      <c r="E52" s="197" t="str">
        <f>IF(NOT(ISBLANK('AI (Maturity Eval)'!I62)),'AI (Maturity Eval)'!I62,"")</f>
        <v>N</v>
      </c>
      <c r="F52" s="197" t="str">
        <f>IF(NOT(ISBLANK('AI (Maturity Eval)'!N62)),'AI (Maturity Eval)'!N62,"")</f>
        <v>N</v>
      </c>
      <c r="G52" s="197" t="str">
        <f>IF(NOT(ISBLANK('AI (Maturity Eval)'!S62)),'AI (Maturity Eval)'!S62,"")</f>
        <v>N</v>
      </c>
      <c r="H52" s="197" t="str">
        <f>IF(NOT(ISBLANK('AI (Maturity Eval)'!X62)),'AI (Maturity Eval)'!X62,"")</f>
        <v>N</v>
      </c>
      <c r="I52" s="197" t="str">
        <f>IF(NOT(ISBLANK('AI (Maturity Eval)'!AC62)),'AI (Maturity Eval)'!AC62,"")</f>
        <v>N</v>
      </c>
      <c r="J52" s="197" t="str">
        <f>IF(NOT(ISBLANK('AI (Maturity Eval)'!AH62)),'AI (Maturity Eval)'!AH62,"")</f>
        <v>?</v>
      </c>
      <c r="K52" s="197" t="str">
        <f>IF(NOT(ISBLANK('AI (Maturity Eval)'!AM62)),'AI (Maturity Eval)'!AM62,"")</f>
        <v>?</v>
      </c>
      <c r="L52" s="197" t="str">
        <f>IF(NOT(ISBLANK('AI (Maturity Eval)'!AR62)),'AI (Maturity Eval)'!AR62,"")</f>
        <v>N</v>
      </c>
      <c r="M52" s="197" t="str">
        <f>IF(NOT(ISBLANK('AI (Maturity Eval)'!AW62)),'AI (Maturity Eval)'!AW62,"")</f>
        <v>N</v>
      </c>
      <c r="N52" s="197" t="str">
        <f>IF(NOT(ISBLANK('AI (Maturity Eval)'!BB62)),'AI (Maturity Eval)'!BB62,"")</f>
        <v>TBD</v>
      </c>
      <c r="O52" s="197" t="str">
        <f>IF(NOT(ISBLANK('AI (Maturity Eval)'!BG62)),'AI (Maturity Eval)'!BG62,"")</f>
        <v>TBD</v>
      </c>
      <c r="P52" s="197" t="str">
        <f>IF(NOT(ISBLANK('AI (Maturity Eval)'!BL62)),'AI (Maturity Eval)'!BL62,"")</f>
        <v>N</v>
      </c>
      <c r="Q52" s="219" t="str">
        <f>IF(NOT(ISBLANK('AI (Maturity Eval)'!BQ62)),'AI (Maturity Eval)'!BQ62,"")</f>
        <v>TBD</v>
      </c>
      <c r="R52" s="219" t="str">
        <f>IF(NOT(ISBLANK('AI (Maturity Eval)'!BV62)),'AI (Maturity Eval)'!BV62,"")</f>
        <v>N</v>
      </c>
      <c r="S52" s="219" t="str">
        <f>IF(NOT(ISBLANK('AI (Maturity Eval)'!CA62)),'AI (Maturity Eval)'!CA62,"")</f>
        <v>N</v>
      </c>
      <c r="T52" s="219" t="str">
        <f>IF(NOT(ISBLANK('AI (Maturity Eval)'!CF62)),'AI (Maturity Eval)'!CF62,"")</f>
        <v/>
      </c>
    </row>
    <row r="53" spans="2:20" ht="15" customHeight="1">
      <c r="B53" s="36"/>
      <c r="C53" s="19"/>
      <c r="D53" s="74"/>
      <c r="E53" s="75"/>
      <c r="F53" s="75"/>
      <c r="G53" s="75"/>
      <c r="H53" s="63"/>
      <c r="I53" s="63"/>
      <c r="J53" s="74"/>
      <c r="K53" s="63"/>
      <c r="L53" s="74"/>
      <c r="M53" s="74"/>
      <c r="N53" s="74"/>
      <c r="O53" s="74"/>
      <c r="P53" s="74"/>
      <c r="Q53" s="217"/>
      <c r="R53" s="219" t="str">
        <f>IF(NOT(ISBLANK('AI (Maturity Eval)'!BV63)),'AI (Maturity Eval)'!BV63,"")</f>
        <v/>
      </c>
      <c r="S53" s="219" t="str">
        <f>IF(NOT(ISBLANK('AI (Maturity Eval)'!CA63)),'AI (Maturity Eval)'!CA63,"")</f>
        <v/>
      </c>
      <c r="T53" s="219" t="str">
        <f>IF(NOT(ISBLANK('AI (Maturity Eval)'!CF63)),'AI (Maturity Eval)'!CF63,"")</f>
        <v/>
      </c>
    </row>
  </sheetData>
  <autoFilter ref="B2:T2" xr:uid="{2B7534E7-EB52-9B4B-93F6-9135C8A087BE}"/>
  <dataConsolidate/>
  <mergeCells count="3">
    <mergeCell ref="B1:C1"/>
    <mergeCell ref="W1:X1"/>
    <mergeCell ref="D1:T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0018-FEBB-4BE1-A152-EABFE1944914}">
  <sheetPr codeName="Sheet8"/>
  <dimension ref="B1:DK55"/>
  <sheetViews>
    <sheetView zoomScaleNormal="100" workbookViewId="0">
      <selection activeCell="U20" sqref="U20"/>
    </sheetView>
  </sheetViews>
  <sheetFormatPr baseColWidth="10" defaultColWidth="9" defaultRowHeight="15.75" customHeight="1" outlineLevelCol="1"/>
  <cols>
    <col min="1" max="1" width="2" style="29" customWidth="1"/>
    <col min="2" max="2" width="2.5" style="29" customWidth="1"/>
    <col min="3" max="3" width="2.5" style="29" bestFit="1" customWidth="1"/>
    <col min="4" max="4" width="5" style="29" customWidth="1"/>
    <col min="5" max="5" width="7.33203125" style="29" customWidth="1"/>
    <col min="6" max="6" width="8.33203125" style="29" customWidth="1"/>
    <col min="7" max="7" width="6" style="29" bestFit="1" customWidth="1"/>
    <col min="8" max="8" width="5.83203125" style="29" bestFit="1" customWidth="1"/>
    <col min="9" max="9" width="6.6640625" style="29" customWidth="1"/>
    <col min="10" max="10" width="5.83203125" style="29" bestFit="1" customWidth="1"/>
    <col min="11" max="11" width="6" style="29" bestFit="1" customWidth="1"/>
    <col min="12" max="12" width="5.5" style="29" bestFit="1" customWidth="1"/>
    <col min="13" max="13" width="8.5" style="29" customWidth="1"/>
    <col min="14" max="14" width="5.5" style="29" bestFit="1" customWidth="1"/>
    <col min="15" max="15" width="6" style="29" bestFit="1" customWidth="1"/>
    <col min="16" max="16" width="5.5" style="29" bestFit="1" customWidth="1"/>
    <col min="17" max="17" width="8.83203125" style="29" customWidth="1"/>
    <col min="18" max="18" width="1.5" style="29" customWidth="1"/>
    <col min="19" max="19" width="2.5" style="420" customWidth="1"/>
    <col min="20" max="20" width="10.83203125" style="29" bestFit="1" customWidth="1" outlineLevel="1"/>
    <col min="21" max="21" width="8.1640625" style="29" bestFit="1" customWidth="1" outlineLevel="1"/>
    <col min="22" max="25" width="7.1640625" style="29" bestFit="1" customWidth="1" outlineLevel="1"/>
    <col min="26" max="26" width="10.83203125" style="29" bestFit="1" customWidth="1" outlineLevel="1"/>
    <col min="27" max="27" width="3" style="394" customWidth="1"/>
    <col min="28" max="28" width="8.33203125" style="29" bestFit="1" customWidth="1" outlineLevel="1"/>
    <col min="29" max="29" width="8.1640625" style="29" bestFit="1" customWidth="1" outlineLevel="1"/>
    <col min="30" max="33" width="7.1640625" style="29" bestFit="1" customWidth="1" outlineLevel="1"/>
    <col min="34" max="34" width="10.83203125" style="29" bestFit="1" customWidth="1" outlineLevel="1"/>
    <col min="35" max="35" width="3" style="394" customWidth="1"/>
    <col min="36" max="36" width="10.83203125" style="29" bestFit="1" customWidth="1" outlineLevel="1"/>
    <col min="37" max="37" width="8.1640625" style="29" bestFit="1" customWidth="1" outlineLevel="1"/>
    <col min="38" max="41" width="7.1640625" style="29" bestFit="1" customWidth="1" outlineLevel="1"/>
    <col min="42" max="42" width="10.83203125" style="29" bestFit="1" customWidth="1" outlineLevel="1"/>
    <col min="43" max="43" width="3" style="394" customWidth="1"/>
    <col min="44" max="44" width="10.83203125" style="29" bestFit="1" customWidth="1" outlineLevel="1"/>
    <col min="45" max="45" width="8.1640625" style="29" bestFit="1" customWidth="1" outlineLevel="1"/>
    <col min="46" max="49" width="7.1640625" style="29" bestFit="1" customWidth="1" outlineLevel="1"/>
    <col min="50" max="50" width="10.83203125" style="29" bestFit="1" customWidth="1" outlineLevel="1"/>
    <col min="51" max="51" width="3" style="394" customWidth="1"/>
    <col min="52" max="52" width="10.83203125" style="29" bestFit="1" customWidth="1" outlineLevel="1"/>
    <col min="53" max="53" width="8.1640625" style="29" bestFit="1" customWidth="1" outlineLevel="1"/>
    <col min="54" max="57" width="7.1640625" style="29" bestFit="1" customWidth="1" outlineLevel="1"/>
    <col min="58" max="58" width="10.83203125" style="29" bestFit="1" customWidth="1" outlineLevel="1"/>
    <col min="59" max="59" width="3" style="394" customWidth="1"/>
    <col min="60" max="60" width="10.83203125" style="29" bestFit="1" customWidth="1" outlineLevel="1"/>
    <col min="61" max="61" width="8.1640625" style="29" bestFit="1" customWidth="1" outlineLevel="1"/>
    <col min="62" max="65" width="7.1640625" style="29" bestFit="1" customWidth="1" outlineLevel="1"/>
    <col min="66" max="66" width="10.83203125" style="29" bestFit="1" customWidth="1" outlineLevel="1"/>
    <col min="67" max="67" width="3" style="394" customWidth="1"/>
    <col min="68" max="68" width="10.83203125" style="29" bestFit="1" customWidth="1" outlineLevel="1"/>
    <col min="69" max="69" width="8.1640625" style="29" bestFit="1" customWidth="1" outlineLevel="1"/>
    <col min="70" max="73" width="7.1640625" style="29" bestFit="1" customWidth="1" outlineLevel="1"/>
    <col min="74" max="74" width="10.83203125" style="29" bestFit="1" customWidth="1" outlineLevel="1"/>
    <col min="75" max="75" width="3" style="394" customWidth="1"/>
    <col min="76" max="76" width="10.83203125" style="29" bestFit="1" customWidth="1" outlineLevel="1"/>
    <col min="77" max="77" width="8.1640625" style="29" bestFit="1" customWidth="1" outlineLevel="1"/>
    <col min="78" max="81" width="7.1640625" style="29" bestFit="1" customWidth="1" outlineLevel="1"/>
    <col min="82" max="82" width="10.83203125" style="29" bestFit="1" customWidth="1" outlineLevel="1"/>
    <col min="83" max="83" width="3" style="394" customWidth="1"/>
    <col min="84" max="84" width="10.83203125" style="29" bestFit="1" customWidth="1" outlineLevel="1"/>
    <col min="85" max="85" width="8.1640625" style="29" bestFit="1" customWidth="1" outlineLevel="1"/>
    <col min="86" max="89" width="7.1640625" style="29" bestFit="1" customWidth="1" outlineLevel="1"/>
    <col min="90" max="90" width="10.83203125" style="29" bestFit="1" customWidth="1" outlineLevel="1"/>
    <col min="91" max="91" width="3" style="394" customWidth="1"/>
    <col min="92" max="92" width="10.83203125" style="29" bestFit="1" customWidth="1" outlineLevel="1"/>
    <col min="93" max="93" width="8.1640625" style="29" bestFit="1" customWidth="1" outlineLevel="1"/>
    <col min="94" max="97" width="7.1640625" style="29" bestFit="1" customWidth="1" outlineLevel="1"/>
    <col min="98" max="98" width="10.83203125" style="29" bestFit="1" customWidth="1" outlineLevel="1"/>
    <col min="99" max="99" width="3" style="394" customWidth="1"/>
    <col min="100" max="100" width="10.83203125" style="29" bestFit="1" customWidth="1" outlineLevel="1"/>
    <col min="101" max="101" width="8.1640625" style="29" bestFit="1" customWidth="1" outlineLevel="1"/>
    <col min="102" max="105" width="7.1640625" style="29" bestFit="1" customWidth="1" outlineLevel="1"/>
    <col min="106" max="106" width="10.83203125" style="29" bestFit="1" customWidth="1" outlineLevel="1"/>
    <col min="107" max="107" width="3" style="394" customWidth="1"/>
    <col min="108" max="108" width="10.83203125" style="29" bestFit="1" customWidth="1" outlineLevel="1"/>
    <col min="109" max="109" width="8.1640625" style="29" bestFit="1" customWidth="1" outlineLevel="1"/>
    <col min="110" max="113" width="7.1640625" style="29" bestFit="1" customWidth="1" outlineLevel="1"/>
    <col min="114" max="114" width="10.83203125" style="29" bestFit="1" customWidth="1" outlineLevel="1"/>
    <col min="115" max="115" width="3" style="394" customWidth="1"/>
    <col min="116" max="16384" width="9" style="29"/>
  </cols>
  <sheetData>
    <row r="1" spans="2:114" ht="16" customHeight="1">
      <c r="B1" s="393" t="s">
        <v>217</v>
      </c>
      <c r="C1" s="393"/>
      <c r="D1" s="393"/>
      <c r="E1" s="393"/>
      <c r="F1" s="393"/>
      <c r="G1" s="393"/>
      <c r="H1" s="393"/>
      <c r="I1" s="393"/>
      <c r="J1" s="393"/>
      <c r="K1" s="393"/>
      <c r="L1" s="393"/>
      <c r="M1" s="393"/>
      <c r="N1" s="393"/>
      <c r="O1" s="393"/>
      <c r="P1" s="393"/>
      <c r="Q1" s="393"/>
      <c r="R1" s="80"/>
      <c r="T1" s="393" t="str">
        <f>'AI (Maturity Eval)'!$D$11</f>
        <v>Bryte Activation</v>
      </c>
      <c r="U1" s="393"/>
      <c r="V1" s="393"/>
      <c r="W1" s="393"/>
      <c r="X1" s="393"/>
      <c r="Y1" s="393"/>
      <c r="Z1" s="393"/>
      <c r="AB1" s="393" t="str">
        <f>'AI (Maturity Eval)'!I11</f>
        <v>Intent Classifier And Entity Recognition</v>
      </c>
      <c r="AC1" s="393"/>
      <c r="AD1" s="393"/>
      <c r="AE1" s="393"/>
      <c r="AF1" s="393"/>
      <c r="AG1" s="393"/>
      <c r="AH1" s="393"/>
      <c r="AJ1" s="393" t="str">
        <f>'AI (Maturity Eval)'!$X$11</f>
        <v>Skills</v>
      </c>
      <c r="AK1" s="393"/>
      <c r="AL1" s="393"/>
      <c r="AM1" s="393"/>
      <c r="AN1" s="393"/>
      <c r="AO1" s="393"/>
      <c r="AP1" s="393"/>
      <c r="AR1" s="393" t="str">
        <f>'AI (Maturity Eval)'!$AC$11</f>
        <v>DSAAS</v>
      </c>
      <c r="AS1" s="393"/>
      <c r="AT1" s="393"/>
      <c r="AU1" s="393"/>
      <c r="AV1" s="393"/>
      <c r="AW1" s="393"/>
      <c r="AX1" s="393"/>
      <c r="AZ1" s="393" t="str">
        <f>'AI (Maturity Eval)'!$AH$11</f>
        <v>RAG</v>
      </c>
      <c r="BA1" s="393"/>
      <c r="BB1" s="393"/>
      <c r="BC1" s="393"/>
      <c r="BD1" s="393"/>
      <c r="BE1" s="393"/>
      <c r="BF1" s="393"/>
      <c r="BH1" s="393" t="str">
        <f>'AI (Maturity Eval)'!$AM$11</f>
        <v>Agent Framework</v>
      </c>
      <c r="BI1" s="393"/>
      <c r="BJ1" s="393"/>
      <c r="BK1" s="393"/>
      <c r="BL1" s="393"/>
      <c r="BM1" s="393"/>
      <c r="BN1" s="393"/>
      <c r="BP1" s="393" t="str">
        <f>'AI (Maturity Eval)'!$AR$11</f>
        <v>URIKA</v>
      </c>
      <c r="BQ1" s="393"/>
      <c r="BR1" s="393"/>
      <c r="BS1" s="393"/>
      <c r="BT1" s="393"/>
      <c r="BU1" s="393"/>
      <c r="BV1" s="393"/>
      <c r="BX1" s="393" t="str">
        <f>'AI (Maturity Eval)'!$AW$11</f>
        <v>Mission Control</v>
      </c>
      <c r="BY1" s="393"/>
      <c r="BZ1" s="393"/>
      <c r="CA1" s="393"/>
      <c r="CB1" s="393"/>
      <c r="CC1" s="393"/>
      <c r="CD1" s="393"/>
      <c r="CF1" s="393" t="str">
        <f>'AI (Maturity Eval)'!$BB$11</f>
        <v>UKG GPT</v>
      </c>
      <c r="CG1" s="393"/>
      <c r="CH1" s="393"/>
      <c r="CI1" s="393"/>
      <c r="CJ1" s="393"/>
      <c r="CK1" s="393"/>
      <c r="CL1" s="393"/>
      <c r="CN1" s="393" t="str">
        <f>'AI (Maturity Eval)'!$BG$11</f>
        <v>GPTW/DEIB</v>
      </c>
      <c r="CO1" s="393"/>
      <c r="CP1" s="393"/>
      <c r="CQ1" s="393"/>
      <c r="CR1" s="393"/>
      <c r="CS1" s="393"/>
      <c r="CT1" s="393"/>
      <c r="CV1" s="393" t="str">
        <f>'AI (Maturity Eval)'!$BL$11</f>
        <v>Tech Platform</v>
      </c>
      <c r="CW1" s="393"/>
      <c r="CX1" s="393"/>
      <c r="CY1" s="393"/>
      <c r="CZ1" s="393"/>
      <c r="DA1" s="393"/>
      <c r="DB1" s="393"/>
      <c r="DD1" s="393" t="str">
        <f>'AI (Maturity Eval)'!$BQ$11</f>
        <v>PGE</v>
      </c>
      <c r="DE1" s="393"/>
      <c r="DF1" s="393"/>
      <c r="DG1" s="393"/>
      <c r="DH1" s="393"/>
      <c r="DI1" s="393"/>
      <c r="DJ1" s="393"/>
    </row>
    <row r="2" spans="2:114" ht="16" customHeight="1"/>
    <row r="3" spans="2:114" ht="16" customHeight="1">
      <c r="F3" s="429" t="s">
        <v>218</v>
      </c>
      <c r="G3" s="430"/>
      <c r="H3" s="430"/>
      <c r="I3" s="430"/>
      <c r="J3" s="430"/>
      <c r="K3" s="430"/>
      <c r="L3" s="430"/>
      <c r="M3" s="431"/>
      <c r="N3" s="55"/>
      <c r="O3" s="55"/>
      <c r="P3" s="55"/>
      <c r="Q3" s="55"/>
      <c r="R3" s="55"/>
      <c r="T3" s="203" t="s">
        <v>219</v>
      </c>
      <c r="U3" s="203" t="s">
        <v>4</v>
      </c>
      <c r="AB3"/>
      <c r="AC3" s="203" t="s">
        <v>4</v>
      </c>
      <c r="AJ3" s="203" t="s">
        <v>219</v>
      </c>
      <c r="AK3" s="203" t="s">
        <v>4</v>
      </c>
      <c r="AR3" s="203" t="s">
        <v>219</v>
      </c>
      <c r="AS3" s="203" t="s">
        <v>4</v>
      </c>
      <c r="AZ3" s="203" t="s">
        <v>219</v>
      </c>
      <c r="BA3" s="203" t="s">
        <v>4</v>
      </c>
      <c r="BH3" s="203" t="s">
        <v>219</v>
      </c>
      <c r="BI3" s="203" t="s">
        <v>4</v>
      </c>
      <c r="BP3" s="203" t="s">
        <v>219</v>
      </c>
      <c r="BQ3" s="203" t="s">
        <v>4</v>
      </c>
      <c r="BX3" s="203" t="s">
        <v>219</v>
      </c>
      <c r="BY3" s="203" t="s">
        <v>4</v>
      </c>
      <c r="CF3" s="203" t="s">
        <v>219</v>
      </c>
      <c r="CG3" s="203" t="s">
        <v>4</v>
      </c>
      <c r="CN3" s="203" t="s">
        <v>219</v>
      </c>
      <c r="CO3" s="203" t="s">
        <v>4</v>
      </c>
      <c r="CV3" s="203" t="s">
        <v>219</v>
      </c>
      <c r="CW3" s="203" t="s">
        <v>4</v>
      </c>
      <c r="DD3" s="203" t="s">
        <v>219</v>
      </c>
      <c r="DE3" s="203" t="s">
        <v>4</v>
      </c>
    </row>
    <row r="4" spans="2:114" ht="16" customHeight="1">
      <c r="F4" s="223" t="s">
        <v>124</v>
      </c>
      <c r="G4" s="224" t="s">
        <v>8</v>
      </c>
      <c r="H4" s="224" t="s">
        <v>22</v>
      </c>
      <c r="I4" s="224" t="s">
        <v>38</v>
      </c>
      <c r="J4" s="224" t="s">
        <v>54</v>
      </c>
      <c r="K4" s="224" t="s">
        <v>76</v>
      </c>
      <c r="L4" s="225" t="s">
        <v>220</v>
      </c>
      <c r="M4" s="202" t="s">
        <v>221</v>
      </c>
      <c r="T4" s="203" t="s">
        <v>222</v>
      </c>
      <c r="U4" t="s">
        <v>8</v>
      </c>
      <c r="V4" t="s">
        <v>22</v>
      </c>
      <c r="W4" t="s">
        <v>38</v>
      </c>
      <c r="X4" t="s">
        <v>54</v>
      </c>
      <c r="Y4" t="s">
        <v>76</v>
      </c>
      <c r="Z4" t="s">
        <v>223</v>
      </c>
      <c r="AB4"/>
      <c r="AC4" t="s">
        <v>8</v>
      </c>
      <c r="AD4" t="s">
        <v>22</v>
      </c>
      <c r="AE4" t="s">
        <v>38</v>
      </c>
      <c r="AF4" t="s">
        <v>54</v>
      </c>
      <c r="AG4" t="s">
        <v>76</v>
      </c>
      <c r="AH4" t="s">
        <v>223</v>
      </c>
      <c r="AJ4" s="203" t="s">
        <v>222</v>
      </c>
      <c r="AK4" t="s">
        <v>8</v>
      </c>
      <c r="AL4" t="s">
        <v>22</v>
      </c>
      <c r="AM4" t="s">
        <v>38</v>
      </c>
      <c r="AN4" t="s">
        <v>54</v>
      </c>
      <c r="AO4" t="s">
        <v>76</v>
      </c>
      <c r="AP4" t="s">
        <v>223</v>
      </c>
      <c r="AR4" s="203" t="s">
        <v>222</v>
      </c>
      <c r="AS4" t="s">
        <v>8</v>
      </c>
      <c r="AT4" t="s">
        <v>22</v>
      </c>
      <c r="AU4" t="s">
        <v>38</v>
      </c>
      <c r="AV4" t="s">
        <v>54</v>
      </c>
      <c r="AW4" t="s">
        <v>76</v>
      </c>
      <c r="AX4" t="s">
        <v>223</v>
      </c>
      <c r="AZ4" s="203" t="s">
        <v>222</v>
      </c>
      <c r="BA4" t="s">
        <v>8</v>
      </c>
      <c r="BB4" t="s">
        <v>22</v>
      </c>
      <c r="BC4" t="s">
        <v>38</v>
      </c>
      <c r="BD4" t="s">
        <v>54</v>
      </c>
      <c r="BE4" t="s">
        <v>76</v>
      </c>
      <c r="BF4" t="s">
        <v>223</v>
      </c>
      <c r="BH4" s="203" t="s">
        <v>222</v>
      </c>
      <c r="BI4" t="s">
        <v>8</v>
      </c>
      <c r="BJ4" t="s">
        <v>22</v>
      </c>
      <c r="BK4" t="s">
        <v>38</v>
      </c>
      <c r="BL4" t="s">
        <v>54</v>
      </c>
      <c r="BM4" t="s">
        <v>76</v>
      </c>
      <c r="BN4" t="s">
        <v>223</v>
      </c>
      <c r="BP4" s="203" t="s">
        <v>222</v>
      </c>
      <c r="BQ4" t="s">
        <v>8</v>
      </c>
      <c r="BR4" t="s">
        <v>22</v>
      </c>
      <c r="BS4" t="s">
        <v>38</v>
      </c>
      <c r="BT4" t="s">
        <v>54</v>
      </c>
      <c r="BU4" t="s">
        <v>76</v>
      </c>
      <c r="BV4" t="s">
        <v>223</v>
      </c>
      <c r="BX4" s="203" t="s">
        <v>222</v>
      </c>
      <c r="BY4" t="s">
        <v>8</v>
      </c>
      <c r="BZ4" t="s">
        <v>22</v>
      </c>
      <c r="CA4" t="s">
        <v>38</v>
      </c>
      <c r="CB4" t="s">
        <v>54</v>
      </c>
      <c r="CC4" t="s">
        <v>76</v>
      </c>
      <c r="CD4" t="s">
        <v>223</v>
      </c>
      <c r="CF4" s="203" t="s">
        <v>222</v>
      </c>
      <c r="CG4" t="s">
        <v>8</v>
      </c>
      <c r="CH4" t="s">
        <v>22</v>
      </c>
      <c r="CI4" t="s">
        <v>38</v>
      </c>
      <c r="CJ4" t="s">
        <v>54</v>
      </c>
      <c r="CK4" t="s">
        <v>76</v>
      </c>
      <c r="CL4" t="s">
        <v>223</v>
      </c>
      <c r="CN4" s="203" t="s">
        <v>222</v>
      </c>
      <c r="CO4" t="s">
        <v>8</v>
      </c>
      <c r="CP4" t="s">
        <v>22</v>
      </c>
      <c r="CQ4" t="s">
        <v>38</v>
      </c>
      <c r="CR4" t="s">
        <v>54</v>
      </c>
      <c r="CS4" t="s">
        <v>76</v>
      </c>
      <c r="CT4" t="s">
        <v>223</v>
      </c>
      <c r="CV4" s="203" t="s">
        <v>222</v>
      </c>
      <c r="CW4" t="s">
        <v>8</v>
      </c>
      <c r="CX4" t="s">
        <v>22</v>
      </c>
      <c r="CY4" t="s">
        <v>38</v>
      </c>
      <c r="CZ4" t="s">
        <v>54</v>
      </c>
      <c r="DA4" t="s">
        <v>76</v>
      </c>
      <c r="DB4" t="s">
        <v>223</v>
      </c>
      <c r="DD4" s="203" t="s">
        <v>222</v>
      </c>
      <c r="DE4" t="s">
        <v>8</v>
      </c>
      <c r="DF4" t="s">
        <v>22</v>
      </c>
      <c r="DG4" t="s">
        <v>38</v>
      </c>
      <c r="DH4" t="s">
        <v>54</v>
      </c>
      <c r="DI4" t="s">
        <v>76</v>
      </c>
      <c r="DJ4" t="s">
        <v>223</v>
      </c>
    </row>
    <row r="5" spans="2:114" ht="16" customHeight="1">
      <c r="F5" s="118" t="str">
        <f>$T$1</f>
        <v>Bryte Activation</v>
      </c>
      <c r="G5" s="125">
        <f>U17</f>
        <v>0.83333333333333337</v>
      </c>
      <c r="H5" s="125">
        <f>V17</f>
        <v>0.5714285714285714</v>
      </c>
      <c r="I5" s="125">
        <f>W17</f>
        <v>1</v>
      </c>
      <c r="J5" s="125">
        <f>X17</f>
        <v>1</v>
      </c>
      <c r="K5" s="125">
        <f>Y17</f>
        <v>1</v>
      </c>
      <c r="L5" s="199">
        <f t="shared" ref="L5:L9" si="0">O38</f>
        <v>0</v>
      </c>
      <c r="M5" s="396">
        <f>SUM(L5:L16)</f>
        <v>0</v>
      </c>
      <c r="T5" s="305" t="s">
        <v>189</v>
      </c>
      <c r="U5">
        <v>5</v>
      </c>
      <c r="V5"/>
      <c r="W5"/>
      <c r="X5"/>
      <c r="Y5"/>
      <c r="Z5">
        <v>5</v>
      </c>
      <c r="AB5" t="s">
        <v>219</v>
      </c>
      <c r="AC5">
        <v>6</v>
      </c>
      <c r="AD5">
        <v>7</v>
      </c>
      <c r="AE5">
        <v>7</v>
      </c>
      <c r="AF5">
        <v>10</v>
      </c>
      <c r="AG5">
        <v>14</v>
      </c>
      <c r="AH5">
        <v>44</v>
      </c>
      <c r="AJ5" s="305" t="s">
        <v>213</v>
      </c>
      <c r="AK5">
        <v>4</v>
      </c>
      <c r="AL5"/>
      <c r="AM5"/>
      <c r="AN5"/>
      <c r="AO5">
        <v>7</v>
      </c>
      <c r="AP5">
        <v>11</v>
      </c>
      <c r="AR5" s="305" t="s">
        <v>189</v>
      </c>
      <c r="AS5">
        <v>6</v>
      </c>
      <c r="AT5">
        <v>3</v>
      </c>
      <c r="AU5">
        <v>7</v>
      </c>
      <c r="AV5"/>
      <c r="AW5">
        <v>6</v>
      </c>
      <c r="AX5">
        <v>22</v>
      </c>
      <c r="AZ5" s="305" t="s">
        <v>213</v>
      </c>
      <c r="BA5">
        <v>3</v>
      </c>
      <c r="BB5"/>
      <c r="BC5"/>
      <c r="BD5"/>
      <c r="BE5"/>
      <c r="BF5">
        <v>3</v>
      </c>
      <c r="BH5" s="305" t="s">
        <v>213</v>
      </c>
      <c r="BI5">
        <v>3</v>
      </c>
      <c r="BJ5"/>
      <c r="BK5"/>
      <c r="BL5"/>
      <c r="BM5"/>
      <c r="BN5">
        <v>3</v>
      </c>
      <c r="BP5" s="305" t="s">
        <v>187</v>
      </c>
      <c r="BQ5">
        <v>4</v>
      </c>
      <c r="BR5">
        <v>7</v>
      </c>
      <c r="BS5">
        <v>7</v>
      </c>
      <c r="BT5">
        <v>2</v>
      </c>
      <c r="BU5"/>
      <c r="BV5">
        <v>20</v>
      </c>
      <c r="BX5" s="305" t="s">
        <v>189</v>
      </c>
      <c r="BY5"/>
      <c r="BZ5"/>
      <c r="CA5"/>
      <c r="CB5"/>
      <c r="CC5">
        <v>3</v>
      </c>
      <c r="CD5">
        <v>3</v>
      </c>
      <c r="CF5" s="305" t="s">
        <v>211</v>
      </c>
      <c r="CG5"/>
      <c r="CH5"/>
      <c r="CI5"/>
      <c r="CJ5"/>
      <c r="CK5">
        <v>14</v>
      </c>
      <c r="CL5">
        <v>14</v>
      </c>
      <c r="CN5" s="305" t="s">
        <v>211</v>
      </c>
      <c r="CO5">
        <v>6</v>
      </c>
      <c r="CP5">
        <v>3</v>
      </c>
      <c r="CQ5">
        <v>7</v>
      </c>
      <c r="CR5">
        <v>8</v>
      </c>
      <c r="CS5">
        <v>14</v>
      </c>
      <c r="CT5">
        <v>38</v>
      </c>
      <c r="CV5" s="305" t="s">
        <v>213</v>
      </c>
      <c r="CW5"/>
      <c r="CX5"/>
      <c r="CY5"/>
      <c r="CZ5"/>
      <c r="DA5">
        <v>2</v>
      </c>
      <c r="DB5">
        <v>2</v>
      </c>
      <c r="DD5" s="305" t="s">
        <v>211</v>
      </c>
      <c r="DE5">
        <v>6</v>
      </c>
      <c r="DF5">
        <v>7</v>
      </c>
      <c r="DG5">
        <v>7</v>
      </c>
      <c r="DH5">
        <v>10</v>
      </c>
      <c r="DI5">
        <v>14</v>
      </c>
      <c r="DJ5">
        <v>44</v>
      </c>
    </row>
    <row r="6" spans="2:114" ht="16" customHeight="1">
      <c r="F6" s="118" t="str">
        <f>$AB$1</f>
        <v>Intent Classifier And Entity Recognition</v>
      </c>
      <c r="G6" s="125" t="e">
        <f>AC17</f>
        <v>#DIV/0!</v>
      </c>
      <c r="H6" s="125" t="e">
        <f>AD17</f>
        <v>#DIV/0!</v>
      </c>
      <c r="I6" s="125" t="e">
        <f>AE17</f>
        <v>#DIV/0!</v>
      </c>
      <c r="J6" s="125" t="e">
        <f>AF17</f>
        <v>#DIV/0!</v>
      </c>
      <c r="K6" s="125" t="e">
        <f>AG17</f>
        <v>#DIV/0!</v>
      </c>
      <c r="L6" s="200">
        <f t="shared" si="0"/>
        <v>0</v>
      </c>
      <c r="M6" s="397"/>
      <c r="T6" s="305" t="s">
        <v>188</v>
      </c>
      <c r="U6"/>
      <c r="V6">
        <v>4</v>
      </c>
      <c r="W6">
        <v>7</v>
      </c>
      <c r="X6">
        <v>5</v>
      </c>
      <c r="Y6"/>
      <c r="Z6">
        <v>16</v>
      </c>
      <c r="AB6"/>
      <c r="AC6"/>
      <c r="AD6"/>
      <c r="AE6"/>
      <c r="AF6"/>
      <c r="AG6"/>
      <c r="AH6"/>
      <c r="AJ6" s="305" t="s">
        <v>189</v>
      </c>
      <c r="AK6">
        <v>1</v>
      </c>
      <c r="AL6"/>
      <c r="AM6"/>
      <c r="AN6"/>
      <c r="AO6">
        <v>1</v>
      </c>
      <c r="AP6">
        <v>2</v>
      </c>
      <c r="AR6" s="305" t="s">
        <v>187</v>
      </c>
      <c r="AS6"/>
      <c r="AT6">
        <v>4</v>
      </c>
      <c r="AU6"/>
      <c r="AV6">
        <v>10</v>
      </c>
      <c r="AW6">
        <v>5</v>
      </c>
      <c r="AX6">
        <v>19</v>
      </c>
      <c r="AZ6" s="305" t="s">
        <v>189</v>
      </c>
      <c r="BA6">
        <v>2</v>
      </c>
      <c r="BB6"/>
      <c r="BC6">
        <v>2</v>
      </c>
      <c r="BD6">
        <v>1</v>
      </c>
      <c r="BE6">
        <v>6</v>
      </c>
      <c r="BF6">
        <v>11</v>
      </c>
      <c r="BH6" s="305" t="s">
        <v>189</v>
      </c>
      <c r="BI6">
        <v>2</v>
      </c>
      <c r="BJ6"/>
      <c r="BK6">
        <v>2</v>
      </c>
      <c r="BL6">
        <v>1</v>
      </c>
      <c r="BM6">
        <v>7</v>
      </c>
      <c r="BN6">
        <v>12</v>
      </c>
      <c r="BP6" s="305" t="s">
        <v>189</v>
      </c>
      <c r="BQ6"/>
      <c r="BR6"/>
      <c r="BS6"/>
      <c r="BT6">
        <v>8</v>
      </c>
      <c r="BU6">
        <v>14</v>
      </c>
      <c r="BV6">
        <v>22</v>
      </c>
      <c r="BX6" s="305" t="s">
        <v>187</v>
      </c>
      <c r="BY6">
        <v>6</v>
      </c>
      <c r="BZ6"/>
      <c r="CA6">
        <v>7</v>
      </c>
      <c r="CB6">
        <v>6</v>
      </c>
      <c r="CC6">
        <v>6</v>
      </c>
      <c r="CD6">
        <v>25</v>
      </c>
      <c r="CF6" s="305" t="s">
        <v>187</v>
      </c>
      <c r="CG6">
        <v>4</v>
      </c>
      <c r="CH6">
        <v>7</v>
      </c>
      <c r="CI6">
        <v>7</v>
      </c>
      <c r="CJ6">
        <v>4</v>
      </c>
      <c r="CK6"/>
      <c r="CL6">
        <v>22</v>
      </c>
      <c r="CN6" s="305" t="s">
        <v>187</v>
      </c>
      <c r="CO6"/>
      <c r="CP6">
        <v>4</v>
      </c>
      <c r="CQ6"/>
      <c r="CR6">
        <v>2</v>
      </c>
      <c r="CS6"/>
      <c r="CT6">
        <v>6</v>
      </c>
      <c r="CV6" s="305" t="s">
        <v>189</v>
      </c>
      <c r="CW6"/>
      <c r="CX6"/>
      <c r="CY6"/>
      <c r="CZ6">
        <v>4</v>
      </c>
      <c r="DA6">
        <v>3</v>
      </c>
      <c r="DB6">
        <v>7</v>
      </c>
      <c r="DD6" s="305" t="s">
        <v>223</v>
      </c>
      <c r="DE6">
        <v>6</v>
      </c>
      <c r="DF6">
        <v>7</v>
      </c>
      <c r="DG6">
        <v>7</v>
      </c>
      <c r="DH6">
        <v>10</v>
      </c>
      <c r="DI6">
        <v>14</v>
      </c>
      <c r="DJ6">
        <v>44</v>
      </c>
    </row>
    <row r="7" spans="2:114" ht="16" customHeight="1">
      <c r="F7" s="118" t="str">
        <f>$AJ$1</f>
        <v>Skills</v>
      </c>
      <c r="G7" s="125">
        <f>AK17</f>
        <v>0.83333333333333337</v>
      </c>
      <c r="H7" s="125">
        <f>AL17</f>
        <v>0</v>
      </c>
      <c r="I7" s="125">
        <f>AM17</f>
        <v>0</v>
      </c>
      <c r="J7" s="125">
        <f>AN17</f>
        <v>0</v>
      </c>
      <c r="K7" s="125">
        <f>AO17</f>
        <v>0.5714285714285714</v>
      </c>
      <c r="L7" s="200">
        <f t="shared" si="0"/>
        <v>0</v>
      </c>
      <c r="M7" s="397"/>
      <c r="T7" s="305" t="s">
        <v>211</v>
      </c>
      <c r="U7"/>
      <c r="V7"/>
      <c r="W7"/>
      <c r="X7">
        <v>5</v>
      </c>
      <c r="Y7">
        <v>14</v>
      </c>
      <c r="Z7">
        <v>19</v>
      </c>
      <c r="AB7"/>
      <c r="AC7"/>
      <c r="AD7"/>
      <c r="AE7"/>
      <c r="AF7"/>
      <c r="AG7"/>
      <c r="AH7"/>
      <c r="AJ7" s="305" t="s">
        <v>187</v>
      </c>
      <c r="AK7">
        <v>1</v>
      </c>
      <c r="AL7">
        <v>7</v>
      </c>
      <c r="AM7">
        <v>7</v>
      </c>
      <c r="AN7">
        <v>10</v>
      </c>
      <c r="AO7">
        <v>6</v>
      </c>
      <c r="AP7">
        <v>31</v>
      </c>
      <c r="AR7" s="305" t="s">
        <v>212</v>
      </c>
      <c r="AS7"/>
      <c r="AT7"/>
      <c r="AU7"/>
      <c r="AV7"/>
      <c r="AW7">
        <v>3</v>
      </c>
      <c r="AX7">
        <v>3</v>
      </c>
      <c r="AZ7" s="305" t="s">
        <v>187</v>
      </c>
      <c r="BA7"/>
      <c r="BB7">
        <v>3</v>
      </c>
      <c r="BC7">
        <v>1</v>
      </c>
      <c r="BD7">
        <v>9</v>
      </c>
      <c r="BE7">
        <v>6</v>
      </c>
      <c r="BF7">
        <v>19</v>
      </c>
      <c r="BH7" s="305" t="s">
        <v>187</v>
      </c>
      <c r="BI7">
        <v>1</v>
      </c>
      <c r="BJ7">
        <v>3</v>
      </c>
      <c r="BK7">
        <v>1</v>
      </c>
      <c r="BL7">
        <v>9</v>
      </c>
      <c r="BM7">
        <v>5</v>
      </c>
      <c r="BN7">
        <v>19</v>
      </c>
      <c r="BP7" s="305" t="s">
        <v>212</v>
      </c>
      <c r="BQ7">
        <v>2</v>
      </c>
      <c r="BR7"/>
      <c r="BS7"/>
      <c r="BT7"/>
      <c r="BU7"/>
      <c r="BV7">
        <v>2</v>
      </c>
      <c r="BX7" s="305" t="s">
        <v>212</v>
      </c>
      <c r="BY7"/>
      <c r="BZ7">
        <v>7</v>
      </c>
      <c r="CA7"/>
      <c r="CB7">
        <v>4</v>
      </c>
      <c r="CC7">
        <v>3</v>
      </c>
      <c r="CD7">
        <v>14</v>
      </c>
      <c r="CF7" s="305" t="s">
        <v>189</v>
      </c>
      <c r="CG7"/>
      <c r="CH7"/>
      <c r="CI7"/>
      <c r="CJ7">
        <v>6</v>
      </c>
      <c r="CK7"/>
      <c r="CL7">
        <v>6</v>
      </c>
      <c r="CN7" s="305" t="s">
        <v>223</v>
      </c>
      <c r="CO7">
        <v>6</v>
      </c>
      <c r="CP7">
        <v>7</v>
      </c>
      <c r="CQ7">
        <v>7</v>
      </c>
      <c r="CR7">
        <v>10</v>
      </c>
      <c r="CS7">
        <v>14</v>
      </c>
      <c r="CT7">
        <v>44</v>
      </c>
      <c r="CV7" s="305" t="s">
        <v>188</v>
      </c>
      <c r="CW7">
        <v>2</v>
      </c>
      <c r="CX7"/>
      <c r="CY7">
        <v>3</v>
      </c>
      <c r="CZ7">
        <v>2</v>
      </c>
      <c r="DA7">
        <v>4</v>
      </c>
      <c r="DB7">
        <v>11</v>
      </c>
    </row>
    <row r="8" spans="2:114" ht="16" customHeight="1">
      <c r="F8" s="118" t="str">
        <f>$AR$1</f>
        <v>DSAAS</v>
      </c>
      <c r="G8" s="125">
        <f>AS17</f>
        <v>1</v>
      </c>
      <c r="H8" s="125">
        <f>AT17</f>
        <v>0.42857142857142855</v>
      </c>
      <c r="I8" s="125">
        <f>AU17</f>
        <v>1</v>
      </c>
      <c r="J8" s="125">
        <f>AV17</f>
        <v>0</v>
      </c>
      <c r="K8" s="125">
        <f>AW17</f>
        <v>0.42857142857142855</v>
      </c>
      <c r="L8" s="200">
        <f t="shared" si="0"/>
        <v>0</v>
      </c>
      <c r="M8" s="397"/>
      <c r="T8" s="305" t="s">
        <v>187</v>
      </c>
      <c r="U8"/>
      <c r="V8">
        <v>3</v>
      </c>
      <c r="W8"/>
      <c r="X8"/>
      <c r="Y8"/>
      <c r="Z8">
        <v>3</v>
      </c>
      <c r="AB8"/>
      <c r="AC8"/>
      <c r="AD8"/>
      <c r="AE8"/>
      <c r="AF8"/>
      <c r="AG8"/>
      <c r="AH8"/>
      <c r="AJ8" s="305" t="s">
        <v>223</v>
      </c>
      <c r="AK8">
        <v>6</v>
      </c>
      <c r="AL8">
        <v>7</v>
      </c>
      <c r="AM8">
        <v>7</v>
      </c>
      <c r="AN8">
        <v>10</v>
      </c>
      <c r="AO8">
        <v>14</v>
      </c>
      <c r="AP8">
        <v>44</v>
      </c>
      <c r="AR8" s="305" t="s">
        <v>223</v>
      </c>
      <c r="AS8">
        <v>6</v>
      </c>
      <c r="AT8">
        <v>7</v>
      </c>
      <c r="AU8">
        <v>7</v>
      </c>
      <c r="AV8">
        <v>10</v>
      </c>
      <c r="AW8">
        <v>14</v>
      </c>
      <c r="AX8">
        <v>44</v>
      </c>
      <c r="AZ8" s="305" t="s">
        <v>212</v>
      </c>
      <c r="BA8">
        <v>1</v>
      </c>
      <c r="BB8">
        <v>4</v>
      </c>
      <c r="BC8">
        <v>4</v>
      </c>
      <c r="BD8"/>
      <c r="BE8">
        <v>2</v>
      </c>
      <c r="BF8">
        <v>11</v>
      </c>
      <c r="BH8" s="305" t="s">
        <v>212</v>
      </c>
      <c r="BI8"/>
      <c r="BJ8">
        <v>4</v>
      </c>
      <c r="BK8">
        <v>4</v>
      </c>
      <c r="BL8"/>
      <c r="BM8">
        <v>2</v>
      </c>
      <c r="BN8">
        <v>10</v>
      </c>
      <c r="BP8" s="305" t="s">
        <v>223</v>
      </c>
      <c r="BQ8">
        <v>6</v>
      </c>
      <c r="BR8">
        <v>7</v>
      </c>
      <c r="BS8">
        <v>7</v>
      </c>
      <c r="BT8">
        <v>10</v>
      </c>
      <c r="BU8">
        <v>14</v>
      </c>
      <c r="BV8">
        <v>44</v>
      </c>
      <c r="BX8" s="305" t="s">
        <v>188</v>
      </c>
      <c r="BY8"/>
      <c r="BZ8"/>
      <c r="CA8"/>
      <c r="CB8"/>
      <c r="CC8">
        <v>2</v>
      </c>
      <c r="CD8">
        <v>2</v>
      </c>
      <c r="CF8" s="305" t="s">
        <v>212</v>
      </c>
      <c r="CG8">
        <v>2</v>
      </c>
      <c r="CH8"/>
      <c r="CI8"/>
      <c r="CJ8"/>
      <c r="CK8"/>
      <c r="CL8">
        <v>2</v>
      </c>
      <c r="CV8" s="305" t="s">
        <v>187</v>
      </c>
      <c r="CW8">
        <v>4</v>
      </c>
      <c r="CX8">
        <v>7</v>
      </c>
      <c r="CY8">
        <v>4</v>
      </c>
      <c r="CZ8">
        <v>4</v>
      </c>
      <c r="DA8">
        <v>5</v>
      </c>
      <c r="DB8">
        <v>24</v>
      </c>
    </row>
    <row r="9" spans="2:114" ht="16" customHeight="1">
      <c r="F9" s="118" t="str">
        <f>$AZ$1</f>
        <v>RAG</v>
      </c>
      <c r="G9" s="125">
        <f>BA17</f>
        <v>0.83333333333333337</v>
      </c>
      <c r="H9" s="125">
        <f>BB17</f>
        <v>0</v>
      </c>
      <c r="I9" s="124">
        <f>BC17</f>
        <v>0.2857142857142857</v>
      </c>
      <c r="J9" s="124">
        <f>BD17</f>
        <v>0.1</v>
      </c>
      <c r="K9" s="124">
        <f>BE17</f>
        <v>0.42857142857142855</v>
      </c>
      <c r="L9" s="200">
        <f t="shared" si="0"/>
        <v>0</v>
      </c>
      <c r="M9" s="397"/>
      <c r="T9" s="305" t="s">
        <v>212</v>
      </c>
      <c r="U9">
        <v>1</v>
      </c>
      <c r="V9"/>
      <c r="W9"/>
      <c r="X9"/>
      <c r="Y9"/>
      <c r="Z9">
        <v>1</v>
      </c>
      <c r="AB9"/>
      <c r="AC9"/>
      <c r="AD9"/>
      <c r="AE9"/>
      <c r="AF9"/>
      <c r="AG9"/>
      <c r="AH9"/>
      <c r="AR9"/>
      <c r="AS9"/>
      <c r="AT9"/>
      <c r="AU9"/>
      <c r="AV9"/>
      <c r="AW9"/>
      <c r="AX9"/>
      <c r="AZ9" s="305" t="s">
        <v>223</v>
      </c>
      <c r="BA9">
        <v>6</v>
      </c>
      <c r="BB9">
        <v>7</v>
      </c>
      <c r="BC9">
        <v>7</v>
      </c>
      <c r="BD9">
        <v>10</v>
      </c>
      <c r="BE9">
        <v>14</v>
      </c>
      <c r="BF9">
        <v>44</v>
      </c>
      <c r="BH9" s="305" t="s">
        <v>223</v>
      </c>
      <c r="BI9">
        <v>6</v>
      </c>
      <c r="BJ9">
        <v>7</v>
      </c>
      <c r="BK9">
        <v>7</v>
      </c>
      <c r="BL9">
        <v>10</v>
      </c>
      <c r="BM9">
        <v>14</v>
      </c>
      <c r="BN9">
        <v>44</v>
      </c>
      <c r="BX9" s="305" t="s">
        <v>223</v>
      </c>
      <c r="BY9">
        <v>6</v>
      </c>
      <c r="BZ9">
        <v>7</v>
      </c>
      <c r="CA9">
        <v>7</v>
      </c>
      <c r="CB9">
        <v>10</v>
      </c>
      <c r="CC9">
        <v>14</v>
      </c>
      <c r="CD9">
        <v>44</v>
      </c>
      <c r="CF9" s="305" t="s">
        <v>223</v>
      </c>
      <c r="CG9">
        <v>6</v>
      </c>
      <c r="CH9">
        <v>7</v>
      </c>
      <c r="CI9">
        <v>7</v>
      </c>
      <c r="CJ9">
        <v>10</v>
      </c>
      <c r="CK9">
        <v>14</v>
      </c>
      <c r="CL9">
        <v>44</v>
      </c>
      <c r="CV9" s="305" t="s">
        <v>223</v>
      </c>
      <c r="CW9">
        <v>6</v>
      </c>
      <c r="CX9">
        <v>7</v>
      </c>
      <c r="CY9">
        <v>7</v>
      </c>
      <c r="CZ9">
        <v>10</v>
      </c>
      <c r="DA9">
        <v>14</v>
      </c>
      <c r="DB9">
        <v>44</v>
      </c>
    </row>
    <row r="10" spans="2:114" ht="16" customHeight="1">
      <c r="F10" s="118" t="str">
        <f>BH1</f>
        <v>Agent Framework</v>
      </c>
      <c r="G10" s="125">
        <f>BI17</f>
        <v>1</v>
      </c>
      <c r="H10" s="125">
        <f>BJ17</f>
        <v>0.42857142857142855</v>
      </c>
      <c r="I10" s="125">
        <f>BK17</f>
        <v>0.42857142857142855</v>
      </c>
      <c r="J10" s="125">
        <f>BL17</f>
        <v>1</v>
      </c>
      <c r="K10" s="125">
        <f>BM17</f>
        <v>0.8571428571428571</v>
      </c>
      <c r="L10" s="200">
        <f t="shared" ref="L10:L16" si="1">O43</f>
        <v>0</v>
      </c>
      <c r="M10" s="397"/>
      <c r="T10" s="305" t="s">
        <v>223</v>
      </c>
      <c r="U10">
        <v>6</v>
      </c>
      <c r="V10">
        <v>7</v>
      </c>
      <c r="W10">
        <v>7</v>
      </c>
      <c r="X10">
        <v>10</v>
      </c>
      <c r="Y10">
        <v>14</v>
      </c>
      <c r="Z10">
        <v>44</v>
      </c>
      <c r="AB10"/>
      <c r="AC10"/>
      <c r="AD10"/>
      <c r="AE10"/>
      <c r="AF10"/>
      <c r="AG10"/>
      <c r="AH10"/>
      <c r="AZ10"/>
      <c r="BA10"/>
      <c r="BB10"/>
      <c r="BC10"/>
      <c r="BD10"/>
      <c r="BE10"/>
      <c r="BF10"/>
    </row>
    <row r="11" spans="2:114" ht="16" customHeight="1">
      <c r="F11" s="118" t="str">
        <f>BP1</f>
        <v>URIKA</v>
      </c>
      <c r="G11" s="125" t="e">
        <f>BQ17</f>
        <v>#DIV/0!</v>
      </c>
      <c r="H11" s="125" t="e">
        <f>BR17</f>
        <v>#DIV/0!</v>
      </c>
      <c r="I11" s="125" t="e">
        <f>BS17</f>
        <v>#DIV/0!</v>
      </c>
      <c r="J11" s="125">
        <f>BT17</f>
        <v>0.25</v>
      </c>
      <c r="K11" s="125">
        <f>BU17</f>
        <v>0</v>
      </c>
      <c r="L11" s="200">
        <f t="shared" si="1"/>
        <v>0</v>
      </c>
      <c r="M11" s="397"/>
    </row>
    <row r="12" spans="2:114" ht="16" customHeight="1">
      <c r="F12" s="118" t="str">
        <f>BX1</f>
        <v>Mission Control</v>
      </c>
      <c r="G12" s="125">
        <f>BY17</f>
        <v>0</v>
      </c>
      <c r="H12" s="125">
        <f>BZ17</f>
        <v>0</v>
      </c>
      <c r="I12" s="125">
        <f>CA17</f>
        <v>0</v>
      </c>
      <c r="J12" s="125">
        <f>CB17</f>
        <v>0</v>
      </c>
      <c r="K12" s="126">
        <f>CC17</f>
        <v>0.35714285714285715</v>
      </c>
      <c r="L12" s="200">
        <f t="shared" si="1"/>
        <v>0</v>
      </c>
      <c r="M12" s="397"/>
    </row>
    <row r="13" spans="2:114" ht="16" customHeight="1">
      <c r="F13" s="118" t="str">
        <f>CF1</f>
        <v>UKG GPT</v>
      </c>
      <c r="G13" s="125">
        <f>CG17</f>
        <v>0</v>
      </c>
      <c r="H13" s="125">
        <f>CH17</f>
        <v>0</v>
      </c>
      <c r="I13" s="125">
        <f>CI17</f>
        <v>0</v>
      </c>
      <c r="J13" s="125">
        <f>CJ17</f>
        <v>0</v>
      </c>
      <c r="K13" s="125" t="e">
        <f>CK17</f>
        <v>#DIV/0!</v>
      </c>
      <c r="L13" s="200">
        <f t="shared" si="1"/>
        <v>0</v>
      </c>
      <c r="M13" s="397"/>
    </row>
    <row r="14" spans="2:114" ht="16" customHeight="1">
      <c r="F14" s="118" t="str">
        <f>CN1</f>
        <v>GPTW/DEIB</v>
      </c>
      <c r="G14" s="125" t="e">
        <f>CO17</f>
        <v>#DIV/0!</v>
      </c>
      <c r="H14" s="125">
        <f>CP17</f>
        <v>0.75</v>
      </c>
      <c r="I14" s="125" t="e">
        <f>CQ17</f>
        <v>#DIV/0!</v>
      </c>
      <c r="J14" s="125">
        <f>CR17</f>
        <v>4</v>
      </c>
      <c r="K14" s="126" t="e">
        <f>CS17</f>
        <v>#DIV/0!</v>
      </c>
      <c r="L14" s="200">
        <f t="shared" si="1"/>
        <v>0</v>
      </c>
      <c r="M14" s="397"/>
    </row>
    <row r="15" spans="2:114" ht="16" customHeight="1">
      <c r="F15" s="118" t="str">
        <f>CV1</f>
        <v>Tech Platform</v>
      </c>
      <c r="G15" s="125">
        <f>CW17</f>
        <v>0.33333333333333331</v>
      </c>
      <c r="H15" s="125">
        <f>CX17</f>
        <v>0</v>
      </c>
      <c r="I15" s="125">
        <f>CY17</f>
        <v>0.42857142857142855</v>
      </c>
      <c r="J15" s="125">
        <f>CZ17</f>
        <v>0.6</v>
      </c>
      <c r="K15" s="126">
        <f>DA17</f>
        <v>0.6428571428571429</v>
      </c>
      <c r="L15" s="200">
        <f t="shared" si="1"/>
        <v>0</v>
      </c>
      <c r="M15" s="397"/>
    </row>
    <row r="16" spans="2:114" ht="16" customHeight="1">
      <c r="F16" s="226" t="str">
        <f>DD1</f>
        <v>PGE</v>
      </c>
      <c r="G16" s="127">
        <f>DE17</f>
        <v>1</v>
      </c>
      <c r="H16" s="127">
        <f>DF17</f>
        <v>1</v>
      </c>
      <c r="I16" s="127">
        <f>DG17</f>
        <v>1</v>
      </c>
      <c r="J16" s="127">
        <f>DH17</f>
        <v>1</v>
      </c>
      <c r="K16" s="127">
        <f>DI17</f>
        <v>1</v>
      </c>
      <c r="L16" s="201">
        <f t="shared" si="1"/>
        <v>0</v>
      </c>
      <c r="M16" s="398"/>
    </row>
    <row r="17" spans="2:115" ht="16" customHeight="1">
      <c r="F17" s="71"/>
      <c r="G17" s="57"/>
      <c r="H17" s="57"/>
      <c r="I17" s="57"/>
      <c r="J17" s="57"/>
      <c r="K17" s="57"/>
      <c r="L17" s="72"/>
      <c r="T17" s="85" t="s">
        <v>218</v>
      </c>
      <c r="U17" s="86">
        <f t="shared" ref="U17:Z17" si="2">SUM(U5:U7)/U10</f>
        <v>0.83333333333333337</v>
      </c>
      <c r="V17" s="86">
        <f t="shared" si="2"/>
        <v>0.5714285714285714</v>
      </c>
      <c r="W17" s="86">
        <f t="shared" si="2"/>
        <v>1</v>
      </c>
      <c r="X17" s="86">
        <f t="shared" si="2"/>
        <v>1</v>
      </c>
      <c r="Y17" s="86">
        <f t="shared" si="2"/>
        <v>1</v>
      </c>
      <c r="Z17" s="86">
        <f t="shared" si="2"/>
        <v>0.90909090909090906</v>
      </c>
      <c r="AB17" s="85" t="s">
        <v>218</v>
      </c>
      <c r="AC17" s="86" t="e">
        <f t="shared" ref="AC17:AH17" si="3">SUM(AC5:AC7)/AC10</f>
        <v>#DIV/0!</v>
      </c>
      <c r="AD17" s="86" t="e">
        <f t="shared" si="3"/>
        <v>#DIV/0!</v>
      </c>
      <c r="AE17" s="86" t="e">
        <f t="shared" si="3"/>
        <v>#DIV/0!</v>
      </c>
      <c r="AF17" s="86" t="e">
        <f t="shared" si="3"/>
        <v>#DIV/0!</v>
      </c>
      <c r="AG17" s="86" t="e">
        <f t="shared" si="3"/>
        <v>#DIV/0!</v>
      </c>
      <c r="AH17" s="86" t="e">
        <f t="shared" si="3"/>
        <v>#DIV/0!</v>
      </c>
      <c r="AJ17" s="85" t="s">
        <v>218</v>
      </c>
      <c r="AK17" s="86">
        <f t="shared" ref="AK17:AP17" si="4">SUM(AK5:AK6)/AK8</f>
        <v>0.83333333333333337</v>
      </c>
      <c r="AL17" s="86">
        <f t="shared" si="4"/>
        <v>0</v>
      </c>
      <c r="AM17" s="86">
        <f t="shared" si="4"/>
        <v>0</v>
      </c>
      <c r="AN17" s="86">
        <f t="shared" si="4"/>
        <v>0</v>
      </c>
      <c r="AO17" s="86">
        <f t="shared" si="4"/>
        <v>0.5714285714285714</v>
      </c>
      <c r="AP17" s="86">
        <f t="shared" si="4"/>
        <v>0.29545454545454547</v>
      </c>
      <c r="AR17" s="85" t="s">
        <v>218</v>
      </c>
      <c r="AS17" s="86">
        <f t="shared" ref="AS17:AV17" si="5">SUM(AS5)/AS8</f>
        <v>1</v>
      </c>
      <c r="AT17" s="86">
        <f t="shared" si="5"/>
        <v>0.42857142857142855</v>
      </c>
      <c r="AU17" s="86">
        <f t="shared" si="5"/>
        <v>1</v>
      </c>
      <c r="AV17" s="86">
        <f t="shared" si="5"/>
        <v>0</v>
      </c>
      <c r="AW17" s="86">
        <f>SUM(AW5)/AW8</f>
        <v>0.42857142857142855</v>
      </c>
      <c r="AX17" s="86">
        <f>SUM(AX5)/AX8</f>
        <v>0.5</v>
      </c>
      <c r="AZ17" s="85" t="s">
        <v>218</v>
      </c>
      <c r="BA17" s="86">
        <f>SUM(BA5:BA6)/BA9</f>
        <v>0.83333333333333337</v>
      </c>
      <c r="BB17" s="86">
        <f t="shared" ref="BB17:BF17" si="6">SUM(BB5:BB6)/BB9</f>
        <v>0</v>
      </c>
      <c r="BC17" s="86">
        <f t="shared" si="6"/>
        <v>0.2857142857142857</v>
      </c>
      <c r="BD17" s="86">
        <f t="shared" si="6"/>
        <v>0.1</v>
      </c>
      <c r="BE17" s="86">
        <f t="shared" si="6"/>
        <v>0.42857142857142855</v>
      </c>
      <c r="BF17" s="86">
        <f t="shared" si="6"/>
        <v>0.31818181818181818</v>
      </c>
      <c r="BH17" s="85" t="s">
        <v>218</v>
      </c>
      <c r="BI17" s="86">
        <f t="shared" ref="BI17:BN17" si="7">SUM(BI5:BI7)/BI9</f>
        <v>1</v>
      </c>
      <c r="BJ17" s="86">
        <f t="shared" si="7"/>
        <v>0.42857142857142855</v>
      </c>
      <c r="BK17" s="86">
        <f t="shared" si="7"/>
        <v>0.42857142857142855</v>
      </c>
      <c r="BL17" s="86">
        <f t="shared" si="7"/>
        <v>1</v>
      </c>
      <c r="BM17" s="86">
        <f t="shared" si="7"/>
        <v>0.8571428571428571</v>
      </c>
      <c r="BN17" s="86">
        <f t="shared" si="7"/>
        <v>0.77272727272727271</v>
      </c>
      <c r="BP17" s="85" t="s">
        <v>218</v>
      </c>
      <c r="BQ17" s="86" t="e">
        <f t="shared" ref="BQ17:BV17" si="8">SUM(BQ5)/BQ6</f>
        <v>#DIV/0!</v>
      </c>
      <c r="BR17" s="86" t="e">
        <f t="shared" si="8"/>
        <v>#DIV/0!</v>
      </c>
      <c r="BS17" s="86" t="e">
        <f t="shared" si="8"/>
        <v>#DIV/0!</v>
      </c>
      <c r="BT17" s="86">
        <f t="shared" si="8"/>
        <v>0.25</v>
      </c>
      <c r="BU17" s="86">
        <f t="shared" si="8"/>
        <v>0</v>
      </c>
      <c r="BV17" s="86">
        <f t="shared" si="8"/>
        <v>0.90909090909090906</v>
      </c>
      <c r="BX17" s="85" t="s">
        <v>218</v>
      </c>
      <c r="BY17" s="86">
        <f t="shared" ref="BY17:CD17" si="9">SUM(BY5,BY8)/BY9</f>
        <v>0</v>
      </c>
      <c r="BZ17" s="86">
        <f t="shared" si="9"/>
        <v>0</v>
      </c>
      <c r="CA17" s="86">
        <f t="shared" si="9"/>
        <v>0</v>
      </c>
      <c r="CB17" s="86">
        <f t="shared" si="9"/>
        <v>0</v>
      </c>
      <c r="CC17" s="86">
        <f t="shared" si="9"/>
        <v>0.35714285714285715</v>
      </c>
      <c r="CD17" s="86">
        <f t="shared" si="9"/>
        <v>0.11363636363636363</v>
      </c>
      <c r="CF17" s="85" t="s">
        <v>218</v>
      </c>
      <c r="CG17" s="86">
        <f t="shared" ref="CG17:CL17" si="10">SUM(CG5)/CG6</f>
        <v>0</v>
      </c>
      <c r="CH17" s="86">
        <f t="shared" si="10"/>
        <v>0</v>
      </c>
      <c r="CI17" s="86">
        <f t="shared" si="10"/>
        <v>0</v>
      </c>
      <c r="CJ17" s="86">
        <f t="shared" si="10"/>
        <v>0</v>
      </c>
      <c r="CK17" s="86" t="e">
        <f t="shared" si="10"/>
        <v>#DIV/0!</v>
      </c>
      <c r="CL17" s="86">
        <f t="shared" si="10"/>
        <v>0.63636363636363635</v>
      </c>
      <c r="CN17" s="85" t="s">
        <v>218</v>
      </c>
      <c r="CO17" s="86" t="e">
        <f t="shared" ref="CO17:CT17" si="11">SUM(CO5)/CO6</f>
        <v>#DIV/0!</v>
      </c>
      <c r="CP17" s="86">
        <f t="shared" si="11"/>
        <v>0.75</v>
      </c>
      <c r="CQ17" s="86" t="e">
        <f t="shared" si="11"/>
        <v>#DIV/0!</v>
      </c>
      <c r="CR17" s="86">
        <f t="shared" si="11"/>
        <v>4</v>
      </c>
      <c r="CS17" s="86" t="e">
        <f t="shared" si="11"/>
        <v>#DIV/0!</v>
      </c>
      <c r="CT17" s="86">
        <f t="shared" si="11"/>
        <v>6.333333333333333</v>
      </c>
      <c r="CV17" s="85" t="s">
        <v>218</v>
      </c>
      <c r="CW17" s="86">
        <f t="shared" ref="CW17:DB17" si="12">SUM(CW5:CW7)/CW9</f>
        <v>0.33333333333333331</v>
      </c>
      <c r="CX17" s="86">
        <f t="shared" si="12"/>
        <v>0</v>
      </c>
      <c r="CY17" s="86">
        <f t="shared" si="12"/>
        <v>0.42857142857142855</v>
      </c>
      <c r="CZ17" s="86">
        <f t="shared" si="12"/>
        <v>0.6</v>
      </c>
      <c r="DA17" s="86">
        <f t="shared" si="12"/>
        <v>0.6428571428571429</v>
      </c>
      <c r="DB17" s="86">
        <f t="shared" si="12"/>
        <v>0.45454545454545453</v>
      </c>
      <c r="DD17" s="85" t="s">
        <v>218</v>
      </c>
      <c r="DE17" s="86">
        <f t="shared" ref="DE17:DJ17" si="13">SUM(DE5)/DE6</f>
        <v>1</v>
      </c>
      <c r="DF17" s="86">
        <f t="shared" si="13"/>
        <v>1</v>
      </c>
      <c r="DG17" s="86">
        <f t="shared" si="13"/>
        <v>1</v>
      </c>
      <c r="DH17" s="86">
        <f t="shared" si="13"/>
        <v>1</v>
      </c>
      <c r="DI17" s="86">
        <f t="shared" si="13"/>
        <v>1</v>
      </c>
      <c r="DJ17" s="86">
        <f t="shared" si="13"/>
        <v>1</v>
      </c>
    </row>
    <row r="18" spans="2:115" ht="19">
      <c r="F18" s="76">
        <f>$L$22</f>
        <v>0</v>
      </c>
      <c r="H18" s="57"/>
      <c r="I18" s="84" t="e">
        <f>$L$23</f>
        <v>#VALUE!</v>
      </c>
      <c r="K18" s="57"/>
      <c r="L18" s="72"/>
      <c r="M18" s="82" t="e">
        <f>$L$24</f>
        <v>#VALUE!</v>
      </c>
      <c r="T18" s="395" t="s">
        <v>224</v>
      </c>
      <c r="U18" s="395"/>
      <c r="V18" s="395"/>
      <c r="W18" s="395"/>
      <c r="X18" s="395"/>
      <c r="Y18" s="395"/>
      <c r="Z18" s="395"/>
      <c r="AB18" s="395" t="s">
        <v>224</v>
      </c>
      <c r="AC18" s="395"/>
      <c r="AD18" s="395"/>
      <c r="AE18" s="395"/>
      <c r="AF18" s="395"/>
      <c r="AG18" s="395"/>
      <c r="AH18" s="395"/>
      <c r="AJ18" s="395" t="s">
        <v>224</v>
      </c>
      <c r="AK18" s="395"/>
      <c r="AL18" s="395"/>
      <c r="AM18" s="395"/>
      <c r="AN18" s="395"/>
      <c r="AO18" s="395"/>
      <c r="AP18" s="395"/>
      <c r="AR18" s="395" t="s">
        <v>224</v>
      </c>
      <c r="AS18" s="395"/>
      <c r="AT18" s="395"/>
      <c r="AU18" s="395"/>
      <c r="AV18" s="395"/>
      <c r="AW18" s="395"/>
      <c r="AX18" s="395"/>
      <c r="AZ18" s="395" t="s">
        <v>224</v>
      </c>
      <c r="BA18" s="395"/>
      <c r="BB18" s="395"/>
      <c r="BC18" s="395"/>
      <c r="BD18" s="395"/>
      <c r="BE18" s="395"/>
      <c r="BF18" s="395"/>
      <c r="BH18" s="395" t="s">
        <v>224</v>
      </c>
      <c r="BI18" s="395"/>
      <c r="BJ18" s="395"/>
      <c r="BK18" s="395"/>
      <c r="BL18" s="395"/>
      <c r="BM18" s="395"/>
      <c r="BN18" s="395"/>
      <c r="BP18" s="395" t="s">
        <v>224</v>
      </c>
      <c r="BQ18" s="395"/>
      <c r="BR18" s="395"/>
      <c r="BS18" s="395"/>
      <c r="BT18" s="395"/>
      <c r="BU18" s="395"/>
      <c r="BV18" s="395"/>
      <c r="BX18" s="395" t="s">
        <v>224</v>
      </c>
      <c r="BY18" s="395"/>
      <c r="BZ18" s="395"/>
      <c r="CA18" s="395"/>
      <c r="CB18" s="395"/>
      <c r="CC18" s="395"/>
      <c r="CD18" s="395"/>
      <c r="CF18" s="395" t="s">
        <v>224</v>
      </c>
      <c r="CG18" s="395"/>
      <c r="CH18" s="395"/>
      <c r="CI18" s="395"/>
      <c r="CJ18" s="395"/>
      <c r="CK18" s="395"/>
      <c r="CL18" s="395"/>
      <c r="CN18" s="395" t="s">
        <v>224</v>
      </c>
      <c r="CO18" s="395"/>
      <c r="CP18" s="395"/>
      <c r="CQ18" s="395"/>
      <c r="CR18" s="395"/>
      <c r="CS18" s="395"/>
      <c r="CT18" s="395"/>
      <c r="CV18" s="395" t="s">
        <v>224</v>
      </c>
      <c r="CW18" s="395"/>
      <c r="CX18" s="395"/>
      <c r="CY18" s="395"/>
      <c r="CZ18" s="395"/>
      <c r="DA18" s="395"/>
      <c r="DB18" s="395"/>
      <c r="DD18" s="395" t="s">
        <v>224</v>
      </c>
      <c r="DE18" s="395"/>
      <c r="DF18" s="395"/>
      <c r="DG18" s="395"/>
      <c r="DH18" s="395"/>
      <c r="DI18" s="395"/>
      <c r="DJ18" s="395"/>
    </row>
    <row r="19" spans="2:115" ht="16" customHeight="1">
      <c r="F19" s="71"/>
      <c r="G19" s="57"/>
      <c r="H19" s="57"/>
      <c r="I19" s="57"/>
      <c r="J19" s="57"/>
      <c r="K19" s="57"/>
      <c r="L19" s="72"/>
      <c r="T19" s="97" t="s">
        <v>225</v>
      </c>
      <c r="U19" s="88">
        <f>'[1]AI - BEpics'!$B$19</f>
        <v>0</v>
      </c>
      <c r="V19" s="88">
        <f>'[1]AI - BEpics'!$D$19</f>
        <v>0</v>
      </c>
      <c r="W19" s="88">
        <f>'[1]AI - BEpics'!$F$19</f>
        <v>0</v>
      </c>
      <c r="X19" s="88">
        <f>'[1]AI - BEpics'!$H$19</f>
        <v>0</v>
      </c>
      <c r="Y19" s="88">
        <f>'[1]AI - BEpics'!$J$19</f>
        <v>0</v>
      </c>
      <c r="Z19" s="96">
        <f>SUM(U19:Y19)</f>
        <v>0</v>
      </c>
      <c r="AB19" s="97" t="s">
        <v>225</v>
      </c>
      <c r="AC19" s="88">
        <f>'[1]AI - BEpics'!$B$27</f>
        <v>0</v>
      </c>
      <c r="AD19" s="88">
        <f>'[1]AI - BEpics'!$D$27</f>
        <v>0</v>
      </c>
      <c r="AE19" s="88">
        <f>'[1]AI - BEpics'!$F$27</f>
        <v>0</v>
      </c>
      <c r="AF19" s="88">
        <f>'[1]AI - BEpics'!$H$27</f>
        <v>0</v>
      </c>
      <c r="AG19" s="88">
        <f>'[1]AI - BEpics'!$J$27</f>
        <v>0</v>
      </c>
      <c r="AH19" s="96">
        <f>SUM(AC19:AG19)</f>
        <v>0</v>
      </c>
      <c r="AJ19" s="97" t="s">
        <v>225</v>
      </c>
      <c r="AK19" s="88">
        <f>'[1]AI - BEpics'!$B$35</f>
        <v>0</v>
      </c>
      <c r="AL19" s="88">
        <f>'[1]AI - BEpics'!$D$35</f>
        <v>0</v>
      </c>
      <c r="AM19" s="88">
        <f>'[1]AI - BEpics'!$F$35</f>
        <v>0</v>
      </c>
      <c r="AN19" s="88">
        <f>'[1]AI - BEpics'!$H$35</f>
        <v>0</v>
      </c>
      <c r="AO19" s="88">
        <f>'[1]AI - BEpics'!$J$35</f>
        <v>0</v>
      </c>
      <c r="AP19" s="96">
        <f>SUM(AK19:AO19)</f>
        <v>0</v>
      </c>
      <c r="AR19" s="97" t="s">
        <v>225</v>
      </c>
      <c r="AS19" s="88">
        <f>'[1]AI - BEpics'!$B$43</f>
        <v>0</v>
      </c>
      <c r="AT19" s="88">
        <f>'[1]AI - BEpics'!$D$43</f>
        <v>0</v>
      </c>
      <c r="AU19" s="88">
        <f>'[1]AI - BEpics'!$F$43</f>
        <v>0</v>
      </c>
      <c r="AV19" s="88">
        <f>'[1]AI - BEpics'!$H$43</f>
        <v>0</v>
      </c>
      <c r="AW19" s="88">
        <f>'[1]AI - BEpics'!$J$43</f>
        <v>0</v>
      </c>
      <c r="AX19" s="96">
        <f>SUM(AS19:AW19)</f>
        <v>0</v>
      </c>
      <c r="AZ19" s="87" t="s">
        <v>225</v>
      </c>
      <c r="BA19" s="88">
        <f>'[1]AI - BEpics'!$B$51</f>
        <v>0</v>
      </c>
      <c r="BB19" s="88">
        <f>'[1]AI - BEpics'!$D$51</f>
        <v>0</v>
      </c>
      <c r="BC19" s="88">
        <f>'[1]AI - BEpics'!$F$51</f>
        <v>0</v>
      </c>
      <c r="BD19" s="88">
        <f>'[1]AI - BEpics'!$H$51</f>
        <v>0</v>
      </c>
      <c r="BE19" s="88">
        <f>'[1]AI - BEpics'!$J$51</f>
        <v>0</v>
      </c>
      <c r="BF19" s="96">
        <f>SUM(BA19:BE19)</f>
        <v>0</v>
      </c>
      <c r="BH19" s="87" t="s">
        <v>225</v>
      </c>
      <c r="BI19" s="88">
        <f>'[1]AI - BEpics'!$B$59</f>
        <v>0</v>
      </c>
      <c r="BJ19" s="88">
        <f>'[1]AI - BEpics'!$D$59</f>
        <v>0</v>
      </c>
      <c r="BK19" s="88">
        <f>'[1]AI - BEpics'!$F$59</f>
        <v>0</v>
      </c>
      <c r="BL19" s="88">
        <f>'[1]AI - BEpics'!$H$59</f>
        <v>0</v>
      </c>
      <c r="BM19" s="88">
        <f>'[1]AI - BEpics'!$J$59</f>
        <v>0</v>
      </c>
      <c r="BN19" s="96">
        <f>SUM(BI19:BM19)</f>
        <v>0</v>
      </c>
      <c r="BP19" s="87" t="s">
        <v>225</v>
      </c>
      <c r="BQ19" s="88">
        <f>'[1]AI - BEpics'!$B$67</f>
        <v>0</v>
      </c>
      <c r="BR19" s="88">
        <f>'[1]AI - BEpics'!$D$67</f>
        <v>0</v>
      </c>
      <c r="BS19" s="88">
        <f>'[1]AI - BEpics'!$F$67</f>
        <v>0</v>
      </c>
      <c r="BT19" s="88">
        <f>'[1]AI - BEpics'!$H$67</f>
        <v>0</v>
      </c>
      <c r="BU19" s="88">
        <f>'[1]AI - BEpics'!$J$67</f>
        <v>0</v>
      </c>
      <c r="BV19" s="96">
        <f>SUM(BQ19:BU19)</f>
        <v>0</v>
      </c>
      <c r="BX19" s="87" t="s">
        <v>225</v>
      </c>
      <c r="BY19" s="88">
        <f>'[1]AI - BEpics'!$B$75</f>
        <v>0</v>
      </c>
      <c r="BZ19" s="88">
        <f>'[1]AI - BEpics'!$D$75</f>
        <v>0</v>
      </c>
      <c r="CA19" s="88">
        <f>'[1]AI - BEpics'!$F$75</f>
        <v>0</v>
      </c>
      <c r="CB19" s="88">
        <f>'[1]AI - BEpics'!$H$75</f>
        <v>0</v>
      </c>
      <c r="CC19" s="88">
        <f>'[1]AI - BEpics'!$J$75</f>
        <v>0</v>
      </c>
      <c r="CD19" s="96">
        <f>SUM(BY19:CC19)</f>
        <v>0</v>
      </c>
      <c r="CF19" s="87" t="s">
        <v>225</v>
      </c>
      <c r="CG19" s="88">
        <f>'[1]AI - BEpics'!$B$83</f>
        <v>0</v>
      </c>
      <c r="CH19" s="88">
        <f>'[1]AI - BEpics'!$D$83</f>
        <v>0</v>
      </c>
      <c r="CI19" s="88">
        <f>'[1]AI - BEpics'!$F$83</f>
        <v>0</v>
      </c>
      <c r="CJ19" s="88">
        <f>'[1]AI - BEpics'!$H$83</f>
        <v>0</v>
      </c>
      <c r="CK19" s="88">
        <f>'[1]AI - BEpics'!$J$83</f>
        <v>0</v>
      </c>
      <c r="CL19" s="96">
        <f>SUM(CG19:CK19)</f>
        <v>0</v>
      </c>
      <c r="CN19" s="87" t="s">
        <v>225</v>
      </c>
      <c r="CO19" s="88">
        <f>'[1]AI - BEpics'!$B$91</f>
        <v>0</v>
      </c>
      <c r="CP19" s="88">
        <f>'[1]AI - BEpics'!$D$91</f>
        <v>0</v>
      </c>
      <c r="CQ19" s="88">
        <f>'[1]AI - BEpics'!$F$91</f>
        <v>0</v>
      </c>
      <c r="CR19" s="88">
        <f>'[1]AI - BEpics'!$H$91</f>
        <v>0</v>
      </c>
      <c r="CS19" s="88">
        <f>'[1]AI - BEpics'!$J$91</f>
        <v>0</v>
      </c>
      <c r="CT19" s="96">
        <f>SUM(CO19:CS19)</f>
        <v>0</v>
      </c>
      <c r="CV19" s="87" t="s">
        <v>225</v>
      </c>
      <c r="CW19" s="88">
        <f>'[1]AI - BEpics'!$B$99</f>
        <v>0</v>
      </c>
      <c r="CX19" s="88">
        <f>'[1]AI - BEpics'!$D$99</f>
        <v>0</v>
      </c>
      <c r="CY19" s="88">
        <f>'[1]AI - BEpics'!$F$99</f>
        <v>0</v>
      </c>
      <c r="CZ19" s="88">
        <f>'[1]AI - BEpics'!$H$99</f>
        <v>0</v>
      </c>
      <c r="DA19" s="88">
        <f>'[1]AI - BEpics'!$J$99</f>
        <v>0</v>
      </c>
      <c r="DB19" s="96">
        <f>SUM(CW19:DA19)</f>
        <v>0</v>
      </c>
      <c r="DD19" s="87" t="s">
        <v>225</v>
      </c>
      <c r="DE19" s="88">
        <f>'[1]AI - BEpics'!$B$107</f>
        <v>0</v>
      </c>
      <c r="DF19" s="88">
        <f>'[1]AI - BEpics'!$D$107</f>
        <v>0</v>
      </c>
      <c r="DG19" s="88">
        <f>'[1]AI - BEpics'!$F$107</f>
        <v>0</v>
      </c>
      <c r="DH19" s="88">
        <f>'[1]AI - BEpics'!$H$107</f>
        <v>0</v>
      </c>
      <c r="DI19" s="88">
        <f>'[1]AI - BEpics'!$J$107</f>
        <v>0</v>
      </c>
      <c r="DJ19" s="96">
        <f>SUM(DE19:DI19)</f>
        <v>0</v>
      </c>
    </row>
    <row r="20" spans="2:115" ht="16" customHeight="1">
      <c r="B20" s="412"/>
      <c r="C20" s="412"/>
      <c r="D20" s="412"/>
      <c r="T20" s="89" t="s">
        <v>226</v>
      </c>
      <c r="U20" s="90" t="e">
        <f>COUNTIF('[1]AI - BEpics'!$C$19:$C$26,"Closed")</f>
        <v>#VALUE!</v>
      </c>
      <c r="V20" s="90" t="e">
        <f>COUNTIF('[1]AI - BEpics'!$E$19:$E$26,"Closed")</f>
        <v>#VALUE!</v>
      </c>
      <c r="W20" s="90" t="e">
        <f>COUNTIF('[1]AI - BEpics'!$G$19:$G$26,"Closed")</f>
        <v>#VALUE!</v>
      </c>
      <c r="X20" s="90" t="e">
        <f>COUNTIF('[1]AI - BEpics'!$I$19:$I$26,"Closed")</f>
        <v>#VALUE!</v>
      </c>
      <c r="Y20" s="90" t="e">
        <f>COUNTIF('[1]AI - BEpics'!$K$19:$K$26,"Closed")</f>
        <v>#VALUE!</v>
      </c>
      <c r="Z20" s="90" t="e">
        <f>SUM(U20:Y20)</f>
        <v>#VALUE!</v>
      </c>
      <c r="AB20" s="89" t="s">
        <v>226</v>
      </c>
      <c r="AC20" s="90" t="e">
        <f>COUNTIF('[1]AI - BEpics'!$C$27:$C$34,"Closed")</f>
        <v>#VALUE!</v>
      </c>
      <c r="AD20" s="90" t="e">
        <f>COUNTIF('[1]AI - BEpics'!$E$27:$E$34,"Closed")</f>
        <v>#VALUE!</v>
      </c>
      <c r="AE20" s="90" t="e">
        <f>COUNTIF('[1]AI - BEpics'!$G$27:$G$34,"Closed")</f>
        <v>#VALUE!</v>
      </c>
      <c r="AF20" s="90" t="e">
        <f>COUNTIF('[1]AI - BEpics'!$I$27:$I$34,"Closed")</f>
        <v>#VALUE!</v>
      </c>
      <c r="AG20" s="90" t="e">
        <f>COUNTIF('[1]AI - BEpics'!$K$27:$K$34,"Closed")</f>
        <v>#VALUE!</v>
      </c>
      <c r="AH20" s="90" t="e">
        <f>SUM(AC20:AG20)</f>
        <v>#VALUE!</v>
      </c>
      <c r="AJ20" s="89" t="s">
        <v>226</v>
      </c>
      <c r="AK20" s="90" t="e">
        <f>COUNTIF('[1]AI - BEpics'!$C$35:$C$42,"Closed")</f>
        <v>#VALUE!</v>
      </c>
      <c r="AL20" s="90" t="e">
        <f>COUNTIF('[1]AI - BEpics'!$E$35:$E$42,"Closed")</f>
        <v>#VALUE!</v>
      </c>
      <c r="AM20" s="90" t="e">
        <f>COUNTIF('[1]AI - BEpics'!$G$35:$G$42,"Closed")</f>
        <v>#VALUE!</v>
      </c>
      <c r="AN20" s="90" t="e">
        <f>COUNTIF('[1]AI - BEpics'!$I$35:$I$42,"Closed")</f>
        <v>#VALUE!</v>
      </c>
      <c r="AO20" s="90" t="e">
        <f>COUNTIF('[1]AI - BEpics'!$K$35:$K$42,"Closed")</f>
        <v>#VALUE!</v>
      </c>
      <c r="AP20" s="90" t="e">
        <f>SUM(AK20:AO20)</f>
        <v>#VALUE!</v>
      </c>
      <c r="AR20" s="89" t="s">
        <v>226</v>
      </c>
      <c r="AS20" s="90" t="e">
        <f>COUNTIF('[1]AI - BEpics'!$C$43:$C$50,"Closed")</f>
        <v>#VALUE!</v>
      </c>
      <c r="AT20" s="90" t="e">
        <f>COUNTIF('[1]AI - BEpics'!$E$43:$E$50,"Closed")</f>
        <v>#VALUE!</v>
      </c>
      <c r="AU20" s="90" t="e">
        <f>COUNTIF('[1]AI - BEpics'!$G$43:$G$50,"Closed")</f>
        <v>#VALUE!</v>
      </c>
      <c r="AV20" s="90" t="e">
        <f>COUNTIF('[1]AI - BEpics'!$I$43:$I$50,"Closed")</f>
        <v>#VALUE!</v>
      </c>
      <c r="AW20" s="90" t="e">
        <f>COUNTIF('[1]AI - BEpics'!$K$43:$K$50,"Closed")</f>
        <v>#VALUE!</v>
      </c>
      <c r="AX20" s="90" t="e">
        <f>SUM(AS20:AW20)</f>
        <v>#VALUE!</v>
      </c>
      <c r="AZ20" s="89" t="s">
        <v>226</v>
      </c>
      <c r="BA20" s="90" t="e">
        <f>COUNTIF('[1]AI - BEpics'!$C$51:$C$58,"Closed")</f>
        <v>#VALUE!</v>
      </c>
      <c r="BB20" s="90" t="e">
        <f>COUNTIF('[1]AI - BEpics'!$E$51:$E$58,"Closed")</f>
        <v>#VALUE!</v>
      </c>
      <c r="BC20" s="90" t="e">
        <f>COUNTIF('[1]AI - BEpics'!$G$51:$G$58,"Closed")</f>
        <v>#VALUE!</v>
      </c>
      <c r="BD20" s="90" t="e">
        <f>COUNTIF('[1]AI - BEpics'!$I$51:$I$58,"Closed")</f>
        <v>#VALUE!</v>
      </c>
      <c r="BE20" s="90" t="e">
        <f>COUNTIF('[1]AI - BEpics'!$K$51:$K$58,"Closed")</f>
        <v>#VALUE!</v>
      </c>
      <c r="BF20" s="90" t="e">
        <f>SUM(BA20:BE20)</f>
        <v>#VALUE!</v>
      </c>
      <c r="BH20" s="89" t="s">
        <v>226</v>
      </c>
      <c r="BI20" s="90" t="e">
        <f>COUNTIF('[1]AI - BEpics'!$C$59:$C$66,"Closed")</f>
        <v>#VALUE!</v>
      </c>
      <c r="BJ20" s="90" t="e">
        <f>COUNTIF('[1]AI - BEpics'!$E$59:$E$66,"Closed")</f>
        <v>#VALUE!</v>
      </c>
      <c r="BK20" s="90" t="e">
        <f>COUNTIF('[1]AI - BEpics'!$G$59:$G$66,"Closed")</f>
        <v>#VALUE!</v>
      </c>
      <c r="BL20" s="90" t="e">
        <f>COUNTIF('[1]AI - BEpics'!$I$59:$I$66,"Closed")</f>
        <v>#VALUE!</v>
      </c>
      <c r="BM20" s="90" t="e">
        <f>COUNTIF('[1]AI - BEpics'!$K$59:$K$66,"Closed")</f>
        <v>#VALUE!</v>
      </c>
      <c r="BN20" s="90" t="e">
        <f>SUM(BI20:BM20)</f>
        <v>#VALUE!</v>
      </c>
      <c r="BP20" s="89" t="s">
        <v>226</v>
      </c>
      <c r="BQ20" s="90" t="e">
        <f>COUNTIF('[1]AI - BEpics'!$C$67:$C$74,"Closed")</f>
        <v>#VALUE!</v>
      </c>
      <c r="BR20" s="90" t="e">
        <f>COUNTIF('[1]AI - BEpics'!$E$67:$E$74,"Closed")</f>
        <v>#VALUE!</v>
      </c>
      <c r="BS20" s="90" t="e">
        <f>COUNTIF('[1]AI - BEpics'!$G$67:$G$74,"Closed")</f>
        <v>#VALUE!</v>
      </c>
      <c r="BT20" s="90" t="e">
        <f>COUNTIF('[1]AI - BEpics'!$I$67:$I$74,"Closed")</f>
        <v>#VALUE!</v>
      </c>
      <c r="BU20" s="90" t="e">
        <f>COUNTIF('[1]AI - BEpics'!$K$67:$K$74,"Closed")</f>
        <v>#VALUE!</v>
      </c>
      <c r="BV20" s="90" t="e">
        <f>SUM(BQ20:BU20)</f>
        <v>#VALUE!</v>
      </c>
      <c r="BX20" s="89" t="s">
        <v>226</v>
      </c>
      <c r="BY20" s="90" t="e">
        <f>COUNTIF('[1]AI - BEpics'!$C$75:$C$82,"Closed")</f>
        <v>#VALUE!</v>
      </c>
      <c r="BZ20" s="90" t="e">
        <f>COUNTIF('[1]AI - BEpics'!$E$75:$E$82,"Closed")</f>
        <v>#VALUE!</v>
      </c>
      <c r="CA20" s="90" t="e">
        <f>COUNTIF('[1]AI - BEpics'!$G$75:$G$82,"Closed")</f>
        <v>#VALUE!</v>
      </c>
      <c r="CB20" s="90" t="e">
        <f>COUNTIF('[1]AI - BEpics'!$I$75:$I$82,"Closed")</f>
        <v>#VALUE!</v>
      </c>
      <c r="CC20" s="90" t="e">
        <f>COUNTIF('[1]AI - BEpics'!$K$75:$K$82,"Closed")</f>
        <v>#VALUE!</v>
      </c>
      <c r="CD20" s="90" t="e">
        <f>SUM(BY20:CC20)</f>
        <v>#VALUE!</v>
      </c>
      <c r="CF20" s="89" t="s">
        <v>226</v>
      </c>
      <c r="CG20" s="90" t="e">
        <f>COUNTIF('[1]AI - BEpics'!$C$83:$C$90,"Closed")</f>
        <v>#VALUE!</v>
      </c>
      <c r="CH20" s="90" t="e">
        <f>COUNTIF('[1]AI - BEpics'!$E$83:$E$90,"Closed")</f>
        <v>#VALUE!</v>
      </c>
      <c r="CI20" s="90" t="e">
        <f>COUNTIF('[1]AI - BEpics'!$G$83:$G$90,"Closed")</f>
        <v>#VALUE!</v>
      </c>
      <c r="CJ20" s="90" t="e">
        <f>COUNTIF('[1]AI - BEpics'!$I$83:$I$90,"Closed")</f>
        <v>#VALUE!</v>
      </c>
      <c r="CK20" s="90" t="e">
        <f>COUNTIF('[1]AI - BEpics'!$K$83:$K$90,"Closed")</f>
        <v>#VALUE!</v>
      </c>
      <c r="CL20" s="90" t="e">
        <f>SUM(CG20:CK20)</f>
        <v>#VALUE!</v>
      </c>
      <c r="CN20" s="89" t="s">
        <v>226</v>
      </c>
      <c r="CO20" s="90" t="e">
        <f>COUNTIF('[1]AI - BEpics'!$C$91:$C$98,"Closed")</f>
        <v>#VALUE!</v>
      </c>
      <c r="CP20" s="90" t="e">
        <f>COUNTIF('[1]AI - BEpics'!$E$91:$E$98,"Closed")</f>
        <v>#VALUE!</v>
      </c>
      <c r="CQ20" s="90" t="e">
        <f>COUNTIF('[1]AI - BEpics'!$G$91:$G$98,"Closed")</f>
        <v>#VALUE!</v>
      </c>
      <c r="CR20" s="90" t="e">
        <f>COUNTIF('[1]AI - BEpics'!$I$91:$I$98,"Closed")</f>
        <v>#VALUE!</v>
      </c>
      <c r="CS20" s="90" t="e">
        <f>COUNTIF('[1]AI - BEpics'!$K$91:$K$98,"Closed")</f>
        <v>#VALUE!</v>
      </c>
      <c r="CT20" s="90" t="e">
        <f>SUM(CO20:CS20)</f>
        <v>#VALUE!</v>
      </c>
      <c r="CV20" s="89" t="s">
        <v>226</v>
      </c>
      <c r="CW20" s="90" t="e">
        <f>COUNTIF('[1]AI - BEpics'!$C$99:$C$106,"Closed")</f>
        <v>#VALUE!</v>
      </c>
      <c r="CX20" s="90" t="e">
        <f>COUNTIF('[1]AI - BEpics'!$E$99:$E$106,"Closed")</f>
        <v>#VALUE!</v>
      </c>
      <c r="CY20" s="90" t="e">
        <f>COUNTIF('[1]AI - BEpics'!$G$99:$G$106,"Closed")</f>
        <v>#VALUE!</v>
      </c>
      <c r="CZ20" s="90" t="e">
        <f>COUNTIF('[1]AI - BEpics'!$I$99:$I$106,"Closed")</f>
        <v>#VALUE!</v>
      </c>
      <c r="DA20" s="90" t="e">
        <f>COUNTIF('[1]AI - BEpics'!$K$99:$K$106,"Closed")</f>
        <v>#VALUE!</v>
      </c>
      <c r="DB20" s="90" t="e">
        <f>SUM(CW20:DA20)</f>
        <v>#VALUE!</v>
      </c>
      <c r="DD20" s="89" t="s">
        <v>226</v>
      </c>
      <c r="DE20" s="90" t="e">
        <f>COUNTIF('[1]AI - BEpics'!$C$107:$C$114,"Closed")</f>
        <v>#VALUE!</v>
      </c>
      <c r="DF20" s="90" t="e">
        <f>COUNTIF('[1]AI - BEpics'!$E$107:$E$114,"Closed")</f>
        <v>#VALUE!</v>
      </c>
      <c r="DG20" s="90" t="e">
        <f>COUNTIF('[1]AI - BEpics'!$G$107:$G$114,"Closed")</f>
        <v>#VALUE!</v>
      </c>
      <c r="DH20" s="90" t="e">
        <f>COUNTIF('[1]AI - BEpics'!$I$107:$I$114,"Closed")</f>
        <v>#VALUE!</v>
      </c>
      <c r="DI20" s="90" t="e">
        <f>COUNTIF('[1]AI - BEpics'!$K$107:$K$114,"Closed")</f>
        <v>#VALUE!</v>
      </c>
      <c r="DJ20" s="90" t="e">
        <f>SUM(DE20:DI20)</f>
        <v>#VALUE!</v>
      </c>
    </row>
    <row r="21" spans="2:115" ht="16" customHeight="1">
      <c r="B21" s="421"/>
      <c r="C21" s="421"/>
      <c r="D21" s="421"/>
      <c r="F21" s="306" t="s">
        <v>224</v>
      </c>
      <c r="G21" s="109" t="s">
        <v>8</v>
      </c>
      <c r="H21" s="109" t="s">
        <v>22</v>
      </c>
      <c r="I21" s="109" t="s">
        <v>38</v>
      </c>
      <c r="J21" s="109" t="s">
        <v>54</v>
      </c>
      <c r="K21" s="109" t="s">
        <v>76</v>
      </c>
      <c r="L21" s="72"/>
      <c r="T21" s="91" t="s">
        <v>227</v>
      </c>
      <c r="U21" s="92" t="e">
        <f>COUNTIF('[1]AI - BEpics'!$C$19:$C$26,"In Progress")</f>
        <v>#VALUE!</v>
      </c>
      <c r="V21" s="92" t="e">
        <f>COUNTIF('[1]AI - BEpics'!$E$19:$E$26,"In Progress")</f>
        <v>#VALUE!</v>
      </c>
      <c r="W21" s="92" t="e">
        <f>COUNTIF('[1]AI - BEpics'!$G$19:$G$26,"In Progress")</f>
        <v>#VALUE!</v>
      </c>
      <c r="X21" s="92" t="e">
        <f>COUNTIF('[1]AI - BEpics'!$I$19:$I$26,"In Progress")</f>
        <v>#VALUE!</v>
      </c>
      <c r="Y21" s="92" t="e">
        <f>COUNTIF('[1]AI - BEpics'!$K$19:$K$26,"In Progress")</f>
        <v>#VALUE!</v>
      </c>
      <c r="Z21" s="92" t="e">
        <f>SUM(U21:Y21)</f>
        <v>#VALUE!</v>
      </c>
      <c r="AB21" s="91" t="s">
        <v>227</v>
      </c>
      <c r="AC21" s="92" t="e">
        <f>COUNTIF('[1]AI - BEpics'!$C$27:$C$34,"In Progress")</f>
        <v>#VALUE!</v>
      </c>
      <c r="AD21" s="92" t="e">
        <f>COUNTIF('[1]AI - BEpics'!$E$27:$E$34,"In Progress")</f>
        <v>#VALUE!</v>
      </c>
      <c r="AE21" s="92" t="e">
        <f>COUNTIF('[1]AI - BEpics'!$G$27:$G$34,"In Progress")</f>
        <v>#VALUE!</v>
      </c>
      <c r="AF21" s="92" t="e">
        <f>COUNTIF('[1]AI - BEpics'!$I$27:$I$34,"In Progress")</f>
        <v>#VALUE!</v>
      </c>
      <c r="AG21" s="92" t="e">
        <f>COUNTIF('[1]AI - BEpics'!$K$27:$K$34,"In Progress")</f>
        <v>#VALUE!</v>
      </c>
      <c r="AH21" s="92" t="e">
        <f>SUM(AC21:AG21)</f>
        <v>#VALUE!</v>
      </c>
      <c r="AJ21" s="91" t="s">
        <v>227</v>
      </c>
      <c r="AK21" s="92" t="e">
        <f>COUNTIF('[1]AI - BEpics'!$C$35:$C$42,"In Progress")</f>
        <v>#VALUE!</v>
      </c>
      <c r="AL21" s="92" t="e">
        <f>COUNTIF('[1]AI - BEpics'!$E$35:$E$42,"In Progress")</f>
        <v>#VALUE!</v>
      </c>
      <c r="AM21" s="92" t="e">
        <f>COUNTIF('[1]AI - BEpics'!$G$35:$G$42,"In Progress")</f>
        <v>#VALUE!</v>
      </c>
      <c r="AN21" s="92" t="e">
        <f>COUNTIF('[1]AI - BEpics'!$I$35:$I$42,"In Progress")</f>
        <v>#VALUE!</v>
      </c>
      <c r="AO21" s="92" t="e">
        <f>COUNTIF('[1]AI - BEpics'!$K$35:$K$42,"In Progress")</f>
        <v>#VALUE!</v>
      </c>
      <c r="AP21" s="92" t="e">
        <f>SUM(AK21:AO21)</f>
        <v>#VALUE!</v>
      </c>
      <c r="AR21" s="91" t="s">
        <v>227</v>
      </c>
      <c r="AS21" s="92" t="e">
        <f>COUNTIF('[1]AI - BEpics'!$C$43:$C$50,"In Progress")</f>
        <v>#VALUE!</v>
      </c>
      <c r="AT21" s="92" t="e">
        <f>COUNTIF('[1]AI - BEpics'!$E$43:$E$50,"In Progress")</f>
        <v>#VALUE!</v>
      </c>
      <c r="AU21" s="92" t="e">
        <f>COUNTIF('[1]AI - BEpics'!$G$43:$G$50,"In Progress")</f>
        <v>#VALUE!</v>
      </c>
      <c r="AV21" s="92" t="e">
        <f>COUNTIF('[1]AI - BEpics'!$I$43:$I$50,"In Progress")</f>
        <v>#VALUE!</v>
      </c>
      <c r="AW21" s="92" t="e">
        <f>COUNTIF('[1]AI - BEpics'!$K$43:$K$50,"In Progress")</f>
        <v>#VALUE!</v>
      </c>
      <c r="AX21" s="92" t="e">
        <f>SUM(AS21:AW21)</f>
        <v>#VALUE!</v>
      </c>
      <c r="AZ21" s="91" t="s">
        <v>227</v>
      </c>
      <c r="BA21" s="222" t="e">
        <f>COUNTIF('[1]AI - BEpics'!$C$51:$C$58,"In Progress")</f>
        <v>#VALUE!</v>
      </c>
      <c r="BB21" s="222" t="e">
        <f>COUNTIF('[1]AI - BEpics'!$E$51:$E$58,"In Progress")</f>
        <v>#VALUE!</v>
      </c>
      <c r="BC21" s="222" t="e">
        <f>COUNTIF('[1]AI - BEpics'!$G$51:$G$58,"In Progress")</f>
        <v>#VALUE!</v>
      </c>
      <c r="BD21" s="222" t="e">
        <f>COUNTIF('[1]AI - BEpics'!$I$51:$I$58,"In Progress")</f>
        <v>#VALUE!</v>
      </c>
      <c r="BE21" s="222" t="e">
        <f>COUNTIF('[1]AI - BEpics'!$K$51:$K$58,"In Progress")</f>
        <v>#VALUE!</v>
      </c>
      <c r="BF21" s="92" t="e">
        <f>SUM(BA21:BE21)</f>
        <v>#VALUE!</v>
      </c>
      <c r="BH21" s="91" t="s">
        <v>227</v>
      </c>
      <c r="BI21" s="222" t="e">
        <f>COUNTIF('[1]AI - BEpics'!$C$59:$C$66,"In Progress")</f>
        <v>#VALUE!</v>
      </c>
      <c r="BJ21" s="222" t="e">
        <f>COUNTIF('[1]AI - BEpics'!$E$59:$E$66,"In Progress")</f>
        <v>#VALUE!</v>
      </c>
      <c r="BK21" s="222" t="e">
        <f>COUNTIF('[1]AI - BEpics'!$G$59:$G$66,"In Progress")</f>
        <v>#VALUE!</v>
      </c>
      <c r="BL21" s="222" t="e">
        <f>COUNTIF('[1]AI - BEpics'!$I$59:$I$66,"In Progress")</f>
        <v>#VALUE!</v>
      </c>
      <c r="BM21" s="222" t="e">
        <f>COUNTIF('[1]AI - BEpics'!$K$59:$K$66,"In Progress")</f>
        <v>#VALUE!</v>
      </c>
      <c r="BN21" s="92" t="e">
        <f>SUM(BI21:BM21)</f>
        <v>#VALUE!</v>
      </c>
      <c r="BP21" s="91" t="s">
        <v>227</v>
      </c>
      <c r="BQ21" s="222" t="e">
        <f>COUNTIF('[1]AI - BEpics'!$C$67:$C$74,"In Progress")</f>
        <v>#VALUE!</v>
      </c>
      <c r="BR21" s="222" t="e">
        <f>COUNTIF('[1]AI - BEpics'!$E$67:$E$74,"In Progress")</f>
        <v>#VALUE!</v>
      </c>
      <c r="BS21" s="222" t="e">
        <f>COUNTIF('[1]AI - BEpics'!$G$67:$G$74,"In Progress")</f>
        <v>#VALUE!</v>
      </c>
      <c r="BT21" s="222" t="e">
        <f>COUNTIF('[1]AI - BEpics'!$I$67:$I$74,"In Progress")</f>
        <v>#VALUE!</v>
      </c>
      <c r="BU21" s="222" t="e">
        <f>COUNTIF('[1]AI - BEpics'!$K$67:$K$74,"In Progress")</f>
        <v>#VALUE!</v>
      </c>
      <c r="BV21" s="92" t="e">
        <f>SUM(BQ21:BU21)</f>
        <v>#VALUE!</v>
      </c>
      <c r="BX21" s="91" t="s">
        <v>227</v>
      </c>
      <c r="BY21" s="222" t="e">
        <f>COUNTIF('[1]AI - BEpics'!$C$75:$C$82,"In Progress")</f>
        <v>#VALUE!</v>
      </c>
      <c r="BZ21" s="222" t="e">
        <f>COUNTIF('[1]AI - BEpics'!$E$75:$E$82,"In Progress")</f>
        <v>#VALUE!</v>
      </c>
      <c r="CA21" s="222" t="e">
        <f>COUNTIF('[1]AI - BEpics'!$G$75:$G$82,"In Progress")</f>
        <v>#VALUE!</v>
      </c>
      <c r="CB21" s="222" t="e">
        <f>COUNTIF('[1]AI - BEpics'!$I$75:$I$82,"In Progress")</f>
        <v>#VALUE!</v>
      </c>
      <c r="CC21" s="222" t="e">
        <f>COUNTIF('[1]AI - BEpics'!$K$75:$K$82,"In Progress")</f>
        <v>#VALUE!</v>
      </c>
      <c r="CD21" s="92" t="e">
        <f>SUM(BY21:CC21)</f>
        <v>#VALUE!</v>
      </c>
      <c r="CF21" s="91" t="s">
        <v>227</v>
      </c>
      <c r="CG21" s="222" t="e">
        <f>COUNTIF('[1]AI - BEpics'!$C$83:$C$90,"In Progress")</f>
        <v>#VALUE!</v>
      </c>
      <c r="CH21" s="222" t="e">
        <f>COUNTIF('[1]AI - BEpics'!$E$83:$E$90,"In Progress")</f>
        <v>#VALUE!</v>
      </c>
      <c r="CI21" s="222" t="e">
        <f>COUNTIF('[1]AI - BEpics'!$G$83:$G$90,"In Progress")</f>
        <v>#VALUE!</v>
      </c>
      <c r="CJ21" s="222" t="e">
        <f>COUNTIF('[1]AI - BEpics'!$I$83:$I$90,"In Progress")</f>
        <v>#VALUE!</v>
      </c>
      <c r="CK21" s="222" t="e">
        <f>COUNTIF('[1]AI - BEpics'!$K$83:$K$90,"In Progress")</f>
        <v>#VALUE!</v>
      </c>
      <c r="CL21" s="92" t="e">
        <f>SUM(CG21:CK21)</f>
        <v>#VALUE!</v>
      </c>
      <c r="CN21" s="91" t="s">
        <v>227</v>
      </c>
      <c r="CO21" s="222" t="e">
        <f>COUNTIF('[1]AI - BEpics'!$C$91:$C$98,"In Progress")</f>
        <v>#VALUE!</v>
      </c>
      <c r="CP21" s="222" t="e">
        <f>COUNTIF('[1]AI - BEpics'!$E$91:$E$98,"In Progress")</f>
        <v>#VALUE!</v>
      </c>
      <c r="CQ21" s="222" t="e">
        <f>COUNTIF('[1]AI - BEpics'!$G$91:$G$98,"In Progress")</f>
        <v>#VALUE!</v>
      </c>
      <c r="CR21" s="222" t="e">
        <f>COUNTIF('[1]AI - BEpics'!$I$91:$I$98,"In Progress")</f>
        <v>#VALUE!</v>
      </c>
      <c r="CS21" s="222" t="e">
        <f>COUNTIF('[1]AI - BEpics'!$K$91:$K$98,"In Progress")</f>
        <v>#VALUE!</v>
      </c>
      <c r="CT21" s="92" t="e">
        <f>SUM(CO21:CS21)</f>
        <v>#VALUE!</v>
      </c>
      <c r="CV21" s="91" t="s">
        <v>227</v>
      </c>
      <c r="CW21" s="222" t="e">
        <f>COUNTIF('[1]AI - BEpics'!$C$99:$C$106,"In Progress")</f>
        <v>#VALUE!</v>
      </c>
      <c r="CX21" s="222" t="e">
        <f>COUNTIF('[1]AI - BEpics'!$E$99:$E$106,"In Progress")</f>
        <v>#VALUE!</v>
      </c>
      <c r="CY21" s="222" t="e">
        <f>COUNTIF('[1]AI - BEpics'!$G$99:$G$106,"In Progress")</f>
        <v>#VALUE!</v>
      </c>
      <c r="CZ21" s="222" t="e">
        <f>COUNTIF('[1]AI - BEpics'!$I$99:$I$106,"In Progress")</f>
        <v>#VALUE!</v>
      </c>
      <c r="DA21" s="222" t="e">
        <f>COUNTIF('[1]AI - BEpics'!$K$99:$K$106,"In Progress")</f>
        <v>#VALUE!</v>
      </c>
      <c r="DB21" s="92" t="e">
        <f>SUM(CW21:DA21)</f>
        <v>#VALUE!</v>
      </c>
      <c r="DD21" s="91" t="s">
        <v>227</v>
      </c>
      <c r="DE21" s="222" t="e">
        <f>COUNTIF('[1]AI - BEpics'!$C$107:$C$114,"In Progress")</f>
        <v>#VALUE!</v>
      </c>
      <c r="DF21" s="222" t="e">
        <f>COUNTIF('[1]AI - BEpics'!$E$107:$E$114,"In Progress")</f>
        <v>#VALUE!</v>
      </c>
      <c r="DG21" s="222" t="e">
        <f>COUNTIF('[1]AI - BEpics'!$G$107:$G$114,"In Progress")</f>
        <v>#VALUE!</v>
      </c>
      <c r="DH21" s="222" t="e">
        <f>COUNTIF('[1]AI - BEpics'!$I$107:$I$114,"In Progress")</f>
        <v>#VALUE!</v>
      </c>
      <c r="DI21" s="222" t="e">
        <f>COUNTIF('[1]AI - BEpics'!$K$107:$K$114,"In Progress")</f>
        <v>#VALUE!</v>
      </c>
      <c r="DJ21" s="92" t="e">
        <f>SUM(DE21:DI21)</f>
        <v>#VALUE!</v>
      </c>
    </row>
    <row r="22" spans="2:115" s="99" customFormat="1" ht="19">
      <c r="B22" s="422"/>
      <c r="C22" s="422"/>
      <c r="D22" s="422"/>
      <c r="E22" s="98"/>
      <c r="F22" s="108" t="s">
        <v>225</v>
      </c>
      <c r="G22" s="111">
        <f>SUM(U19,AC19,AK19,AS19,BA19,BI19,BQ19,BY19,CG19,CO19,CW19,DE19)</f>
        <v>0</v>
      </c>
      <c r="H22" s="111">
        <f>SUM(V19,AD19,AL19,AT19,BB19,BJ19,BR19,BZ19,CH19,CP19,CX19,DF19)</f>
        <v>0</v>
      </c>
      <c r="I22" s="111">
        <f>SUM(W19,AE19,AM19,AU19,BC19,BK19,BS19,CA19,CI19,CQ19,CY19,DG19)</f>
        <v>0</v>
      </c>
      <c r="J22" s="111">
        <f>SUM(X19,AF19,AN19,AV19,BD19,BL19,BT19,CB19,CJ19,CR19,CZ19,DH19)</f>
        <v>0</v>
      </c>
      <c r="K22" s="111">
        <f>SUM(Y19,AG19,AO19,AW19,BE19,BM19,BU19,CC19,CK19,CS19,DA19,DI19)</f>
        <v>0</v>
      </c>
      <c r="L22" s="110">
        <f>SUM(G22:K22)</f>
        <v>0</v>
      </c>
      <c r="S22" s="420"/>
      <c r="T22" s="116"/>
      <c r="U22" s="56"/>
      <c r="V22" s="56"/>
      <c r="W22" s="56"/>
      <c r="X22" s="56"/>
      <c r="Y22" s="56"/>
      <c r="Z22" s="117"/>
      <c r="AA22" s="394"/>
      <c r="AB22" s="116"/>
      <c r="AC22" s="56"/>
      <c r="AD22" s="56"/>
      <c r="AE22" s="56"/>
      <c r="AF22" s="56"/>
      <c r="AG22" s="56"/>
      <c r="AH22" s="117"/>
      <c r="AI22" s="394"/>
      <c r="AJ22" s="116"/>
      <c r="AK22" s="56"/>
      <c r="AL22" s="56"/>
      <c r="AM22" s="56"/>
      <c r="AN22" s="56"/>
      <c r="AO22" s="56"/>
      <c r="AP22" s="117"/>
      <c r="AQ22" s="394"/>
      <c r="AR22" s="116"/>
      <c r="AS22" s="56"/>
      <c r="AT22" s="56"/>
      <c r="AU22" s="56"/>
      <c r="AV22" s="56"/>
      <c r="AW22" s="56"/>
      <c r="AX22" s="117"/>
      <c r="AY22" s="394"/>
      <c r="AZ22" s="116"/>
      <c r="BA22" s="56"/>
      <c r="BB22" s="56"/>
      <c r="BC22" s="56"/>
      <c r="BD22" s="56"/>
      <c r="BE22" s="56"/>
      <c r="BF22" s="117"/>
      <c r="BG22" s="394"/>
      <c r="BH22" s="116"/>
      <c r="BI22" s="56"/>
      <c r="BJ22" s="56"/>
      <c r="BK22" s="56"/>
      <c r="BL22" s="56"/>
      <c r="BM22" s="56"/>
      <c r="BN22" s="117"/>
      <c r="BO22" s="394"/>
      <c r="BP22" s="116"/>
      <c r="BQ22" s="56"/>
      <c r="BR22" s="56"/>
      <c r="BS22" s="56"/>
      <c r="BT22" s="56"/>
      <c r="BU22" s="56"/>
      <c r="BV22" s="117"/>
      <c r="BW22" s="394"/>
      <c r="BX22" s="116"/>
      <c r="BY22" s="56"/>
      <c r="BZ22" s="56"/>
      <c r="CA22" s="56"/>
      <c r="CB22" s="56"/>
      <c r="CC22" s="56"/>
      <c r="CD22" s="117"/>
      <c r="CE22" s="394"/>
      <c r="CF22" s="116"/>
      <c r="CG22" s="56"/>
      <c r="CH22" s="56"/>
      <c r="CI22" s="56"/>
      <c r="CJ22" s="56"/>
      <c r="CK22" s="56"/>
      <c r="CL22" s="117"/>
      <c r="CM22" s="394"/>
      <c r="CN22" s="116"/>
      <c r="CO22" s="56"/>
      <c r="CP22" s="56"/>
      <c r="CQ22" s="56"/>
      <c r="CR22" s="56"/>
      <c r="CS22" s="56"/>
      <c r="CT22" s="117"/>
      <c r="CU22" s="394"/>
      <c r="CV22" s="116"/>
      <c r="CW22" s="56"/>
      <c r="CX22" s="56"/>
      <c r="CY22" s="56"/>
      <c r="CZ22" s="56"/>
      <c r="DA22" s="56"/>
      <c r="DB22" s="117"/>
      <c r="DC22" s="394"/>
      <c r="DD22" s="116"/>
      <c r="DE22" s="56"/>
      <c r="DF22" s="56"/>
      <c r="DG22" s="56"/>
      <c r="DH22" s="56"/>
      <c r="DI22" s="56"/>
      <c r="DJ22" s="117"/>
      <c r="DK22" s="394"/>
    </row>
    <row r="23" spans="2:115" ht="19">
      <c r="B23" s="139"/>
      <c r="C23" s="140"/>
      <c r="D23" s="141"/>
      <c r="E23" s="56"/>
      <c r="F23" s="113" t="s">
        <v>227</v>
      </c>
      <c r="G23" s="114" t="e">
        <f>SUM(U21,AC21,AK21,AS21,BA21,BI21,BQ21,BY21,CG21,CO21,CW21,DE21)</f>
        <v>#VALUE!</v>
      </c>
      <c r="H23" s="114" t="e">
        <f>SUM(V21,AD21,AL21,AT21,BB21,BJ21,BR21,BZ21,CH21,CP21,CX21,DF21)</f>
        <v>#VALUE!</v>
      </c>
      <c r="I23" s="114" t="e">
        <f>SUM(W21,AE21,AM21,AU21,BC21,BK21,BS21,CA21,CI21,CQ21,CY21,DG21)</f>
        <v>#VALUE!</v>
      </c>
      <c r="J23" s="114" t="e">
        <f>SUM(X21,AF21,AN21,AV21,BD21,BL21,BT21,CB21,CJ21,CR21,CZ21,DH21)</f>
        <v>#VALUE!</v>
      </c>
      <c r="K23" s="114" t="e">
        <f>SUM(Y21,AG21,AO21,AW21,BE21,BM21,BU21,CC21,CK21,CS21,DA21,DI21)</f>
        <v>#VALUE!</v>
      </c>
      <c r="L23" s="115" t="e">
        <f>SUM(G23:K23)</f>
        <v>#VALUE!</v>
      </c>
      <c r="O23" s="307"/>
      <c r="P23" s="56"/>
      <c r="Q23" s="56"/>
      <c r="T23" s="95"/>
      <c r="U23" s="56"/>
      <c r="V23" s="56"/>
      <c r="W23" s="56"/>
      <c r="X23" s="56"/>
      <c r="Y23" s="56"/>
      <c r="Z23" s="56"/>
    </row>
    <row r="24" spans="2:115" ht="19">
      <c r="B24" s="139"/>
      <c r="C24" s="140"/>
      <c r="D24" s="141"/>
      <c r="E24" s="56"/>
      <c r="F24" s="107" t="s">
        <v>226</v>
      </c>
      <c r="G24" s="112" t="e">
        <f>SUM(U20,AC20,AK20,AS20,BA20,BI20,BQ20,BY20,CG20,CO20,CW20,DE20)</f>
        <v>#VALUE!</v>
      </c>
      <c r="H24" s="112" t="e">
        <f>SUM(V20,AD20,AL20,AT20,BB20,BJ20,BR20,BZ20,CH20,CP20,CX20,DF20)</f>
        <v>#VALUE!</v>
      </c>
      <c r="I24" s="112" t="e">
        <f>SUM(W20,AE20,AM20,AU20,BC20,BK20,BS20,CA20,CI20,CQ20,CY20,DG20)</f>
        <v>#VALUE!</v>
      </c>
      <c r="J24" s="112" t="e">
        <f>SUM(X20,AF20,AN20,AV20,BD20,BL20,BT20,CB20,CJ20,CR20,CZ20,DH20)</f>
        <v>#VALUE!</v>
      </c>
      <c r="K24" s="112" t="e">
        <f>SUM(Y20,AG20,AO20,AW20,BE20,BM20,BU20,CC20,CK20,CS20,DA20,DI20)</f>
        <v>#VALUE!</v>
      </c>
      <c r="L24" s="81" t="e">
        <f>SUM(G24:K24)</f>
        <v>#VALUE!</v>
      </c>
      <c r="O24" s="307"/>
      <c r="P24" s="56"/>
      <c r="Q24" s="56"/>
      <c r="T24" s="95"/>
      <c r="U24" s="56"/>
      <c r="V24" s="56"/>
      <c r="W24" s="56"/>
      <c r="X24" s="56"/>
      <c r="Y24" s="56"/>
      <c r="Z24" s="56"/>
    </row>
    <row r="25" spans="2:115" ht="19">
      <c r="B25" s="139"/>
      <c r="C25" s="140"/>
      <c r="D25" s="141"/>
      <c r="V25" s="221">
        <f>Z19</f>
        <v>0</v>
      </c>
      <c r="Y25" s="83" t="e">
        <f>Z20</f>
        <v>#VALUE!</v>
      </c>
      <c r="AD25" s="221">
        <f>AH19</f>
        <v>0</v>
      </c>
      <c r="AG25" s="82" t="e">
        <f>AH20</f>
        <v>#VALUE!</v>
      </c>
      <c r="AL25" s="221">
        <f>AP19</f>
        <v>0</v>
      </c>
      <c r="AO25" s="82" t="e">
        <f>AP20</f>
        <v>#VALUE!</v>
      </c>
      <c r="AT25" s="221">
        <f>AX19</f>
        <v>0</v>
      </c>
      <c r="AW25" s="82" t="e">
        <f>AX20</f>
        <v>#VALUE!</v>
      </c>
      <c r="BB25" s="221">
        <f>BF19</f>
        <v>0</v>
      </c>
      <c r="BE25" s="82" t="e">
        <f>BF20</f>
        <v>#VALUE!</v>
      </c>
      <c r="BJ25" s="221">
        <f>BN19</f>
        <v>0</v>
      </c>
      <c r="BM25" s="82" t="e">
        <f>BN20</f>
        <v>#VALUE!</v>
      </c>
      <c r="BR25" s="221">
        <f>BV19</f>
        <v>0</v>
      </c>
      <c r="BU25" s="82" t="e">
        <f>BV20</f>
        <v>#VALUE!</v>
      </c>
      <c r="BZ25" s="221">
        <f>CD19</f>
        <v>0</v>
      </c>
      <c r="CC25" s="82" t="e">
        <f>CD20</f>
        <v>#VALUE!</v>
      </c>
      <c r="CH25" s="221">
        <f>CL19</f>
        <v>0</v>
      </c>
      <c r="CK25" s="82" t="e">
        <f>CL20</f>
        <v>#VALUE!</v>
      </c>
      <c r="CP25" s="221">
        <f>CT19</f>
        <v>0</v>
      </c>
      <c r="CS25" s="82" t="e">
        <f>CT20</f>
        <v>#VALUE!</v>
      </c>
      <c r="CX25" s="221">
        <f>DB19</f>
        <v>0</v>
      </c>
      <c r="DA25" s="82" t="e">
        <f>DB20</f>
        <v>#VALUE!</v>
      </c>
      <c r="DF25" s="221">
        <f>DJ19</f>
        <v>0</v>
      </c>
      <c r="DI25" s="82" t="e">
        <f>DJ20</f>
        <v>#VALUE!</v>
      </c>
    </row>
    <row r="26" spans="2:115" ht="16" customHeight="1">
      <c r="B26" s="139"/>
      <c r="C26" s="140"/>
      <c r="D26" s="141"/>
    </row>
    <row r="27" spans="2:115" ht="16" customHeight="1">
      <c r="B27" s="139"/>
      <c r="C27" s="140"/>
      <c r="D27" s="141"/>
      <c r="T27" s="53"/>
      <c r="U27" s="54"/>
      <c r="V27" s="54"/>
      <c r="W27" s="54"/>
      <c r="X27" s="54"/>
      <c r="Y27" s="54"/>
      <c r="Z27" s="55"/>
      <c r="AB27" s="53"/>
      <c r="AC27" s="54"/>
      <c r="AD27" s="54"/>
      <c r="AE27" s="54"/>
      <c r="AF27" s="54"/>
      <c r="AG27" s="54"/>
      <c r="AH27" s="55"/>
      <c r="AJ27" s="53"/>
      <c r="AK27" s="54"/>
      <c r="AL27" s="54"/>
      <c r="AM27" s="54"/>
      <c r="AN27" s="54"/>
      <c r="AO27" s="54"/>
      <c r="AP27" s="55"/>
      <c r="AR27" s="53"/>
      <c r="AS27" s="54"/>
      <c r="AT27" s="54"/>
      <c r="AU27" s="54"/>
      <c r="AV27" s="54"/>
      <c r="AW27" s="54"/>
      <c r="AX27" s="55"/>
      <c r="AZ27" s="53"/>
      <c r="BA27" s="54"/>
      <c r="BB27" s="54"/>
      <c r="BC27" s="54"/>
      <c r="BD27" s="54"/>
      <c r="BE27" s="54"/>
      <c r="BF27" s="55"/>
      <c r="BH27" s="53"/>
      <c r="BI27" s="54"/>
      <c r="BJ27" s="54"/>
      <c r="BK27" s="54"/>
      <c r="BL27" s="54"/>
      <c r="BM27" s="54"/>
      <c r="BN27" s="55"/>
      <c r="BP27" s="53"/>
      <c r="BQ27" s="54"/>
      <c r="BR27" s="54"/>
      <c r="BS27" s="54"/>
      <c r="BT27" s="54"/>
      <c r="BU27" s="54"/>
      <c r="BV27" s="55"/>
      <c r="BX27" s="53"/>
      <c r="BY27" s="54"/>
      <c r="BZ27" s="54"/>
      <c r="CA27" s="54"/>
      <c r="CB27" s="54"/>
      <c r="CC27" s="54"/>
      <c r="CD27" s="55"/>
      <c r="CF27" s="53"/>
      <c r="CG27" s="54"/>
      <c r="CH27" s="54"/>
      <c r="CI27" s="54"/>
      <c r="CJ27" s="54"/>
      <c r="CK27" s="54"/>
      <c r="CL27" s="55"/>
      <c r="CN27" s="53"/>
      <c r="CO27" s="54"/>
      <c r="CP27" s="54"/>
      <c r="CQ27" s="54"/>
      <c r="CR27" s="54"/>
      <c r="CS27" s="54"/>
      <c r="CT27" s="55"/>
      <c r="CV27" s="53"/>
      <c r="CW27" s="54"/>
      <c r="CX27" s="54"/>
      <c r="CY27" s="54"/>
      <c r="CZ27" s="54"/>
      <c r="DA27" s="54"/>
      <c r="DB27" s="55"/>
      <c r="DD27" s="53"/>
      <c r="DE27" s="54"/>
      <c r="DF27" s="54"/>
      <c r="DG27" s="54"/>
      <c r="DH27" s="54"/>
      <c r="DI27" s="54"/>
      <c r="DJ27" s="55"/>
    </row>
    <row r="28" spans="2:115" ht="16" customHeight="1">
      <c r="B28" s="412"/>
      <c r="C28" s="412"/>
      <c r="D28" s="412"/>
      <c r="T28" s="53"/>
      <c r="U28" s="54"/>
      <c r="V28" s="54"/>
      <c r="W28" s="54"/>
      <c r="X28" s="54"/>
      <c r="Y28" s="54"/>
      <c r="Z28" s="55"/>
    </row>
    <row r="29" spans="2:115" ht="16" customHeight="1">
      <c r="B29" s="421"/>
      <c r="C29" s="421"/>
      <c r="D29" s="421"/>
    </row>
    <row r="30" spans="2:115" ht="16" customHeight="1">
      <c r="B30" s="422"/>
      <c r="C30" s="422"/>
      <c r="D30" s="422"/>
      <c r="E30" s="100"/>
    </row>
    <row r="31" spans="2:115" ht="16" customHeight="1">
      <c r="B31" s="139"/>
      <c r="C31" s="140"/>
      <c r="D31" s="141"/>
    </row>
    <row r="32" spans="2:115" ht="16">
      <c r="B32" s="139"/>
      <c r="C32" s="140"/>
      <c r="D32" s="141"/>
      <c r="T32" s="68" t="s">
        <v>228</v>
      </c>
      <c r="U32" s="70" t="s">
        <v>8</v>
      </c>
      <c r="V32" s="70" t="s">
        <v>22</v>
      </c>
      <c r="W32" s="70" t="s">
        <v>38</v>
      </c>
      <c r="X32" s="70" t="s">
        <v>54</v>
      </c>
      <c r="Y32" s="70" t="s">
        <v>76</v>
      </c>
      <c r="AB32" s="68" t="s">
        <v>228</v>
      </c>
      <c r="AC32" s="70" t="s">
        <v>8</v>
      </c>
      <c r="AD32" s="70" t="s">
        <v>22</v>
      </c>
      <c r="AE32" s="70" t="s">
        <v>38</v>
      </c>
      <c r="AF32" s="70" t="s">
        <v>54</v>
      </c>
      <c r="AG32" s="70" t="s">
        <v>76</v>
      </c>
      <c r="AJ32" s="68" t="s">
        <v>228</v>
      </c>
      <c r="AK32" s="70" t="s">
        <v>8</v>
      </c>
      <c r="AL32" s="70" t="s">
        <v>22</v>
      </c>
      <c r="AM32" s="70" t="s">
        <v>38</v>
      </c>
      <c r="AN32" s="70" t="s">
        <v>54</v>
      </c>
      <c r="AO32" s="70" t="s">
        <v>76</v>
      </c>
      <c r="AR32" s="68" t="s">
        <v>228</v>
      </c>
      <c r="AS32" s="70" t="s">
        <v>8</v>
      </c>
      <c r="AT32" s="70" t="s">
        <v>22</v>
      </c>
      <c r="AU32" s="70" t="s">
        <v>38</v>
      </c>
      <c r="AV32" s="70" t="s">
        <v>54</v>
      </c>
      <c r="AW32" s="70" t="s">
        <v>76</v>
      </c>
      <c r="AZ32" s="68" t="s">
        <v>228</v>
      </c>
      <c r="BA32" s="70" t="s">
        <v>8</v>
      </c>
      <c r="BB32" s="70" t="s">
        <v>22</v>
      </c>
      <c r="BC32" s="70" t="s">
        <v>38</v>
      </c>
      <c r="BD32" s="70" t="s">
        <v>54</v>
      </c>
      <c r="BE32" s="70" t="s">
        <v>76</v>
      </c>
      <c r="BH32" s="68" t="s">
        <v>228</v>
      </c>
      <c r="BI32" s="70" t="s">
        <v>8</v>
      </c>
      <c r="BJ32" s="70" t="s">
        <v>22</v>
      </c>
      <c r="BK32" s="70" t="s">
        <v>38</v>
      </c>
      <c r="BL32" s="70" t="s">
        <v>54</v>
      </c>
      <c r="BM32" s="70" t="s">
        <v>76</v>
      </c>
      <c r="BP32" s="68" t="s">
        <v>228</v>
      </c>
      <c r="BQ32" s="70" t="s">
        <v>8</v>
      </c>
      <c r="BR32" s="70" t="s">
        <v>22</v>
      </c>
      <c r="BS32" s="70" t="s">
        <v>38</v>
      </c>
      <c r="BT32" s="70" t="s">
        <v>54</v>
      </c>
      <c r="BU32" s="70" t="s">
        <v>76</v>
      </c>
      <c r="BX32" s="68" t="s">
        <v>228</v>
      </c>
      <c r="BY32" s="70" t="s">
        <v>8</v>
      </c>
      <c r="BZ32" s="70" t="s">
        <v>22</v>
      </c>
      <c r="CA32" s="70" t="s">
        <v>38</v>
      </c>
      <c r="CB32" s="70" t="s">
        <v>54</v>
      </c>
      <c r="CC32" s="70" t="s">
        <v>76</v>
      </c>
      <c r="CF32" s="68" t="s">
        <v>228</v>
      </c>
      <c r="CG32" s="70" t="s">
        <v>8</v>
      </c>
      <c r="CH32" s="70" t="s">
        <v>22</v>
      </c>
      <c r="CI32" s="70" t="s">
        <v>38</v>
      </c>
      <c r="CJ32" s="70" t="s">
        <v>54</v>
      </c>
      <c r="CK32" s="70" t="s">
        <v>76</v>
      </c>
      <c r="CN32" s="68" t="s">
        <v>228</v>
      </c>
      <c r="CO32" s="70" t="s">
        <v>8</v>
      </c>
      <c r="CP32" s="70" t="s">
        <v>22</v>
      </c>
      <c r="CQ32" s="70" t="s">
        <v>38</v>
      </c>
      <c r="CR32" s="70" t="s">
        <v>54</v>
      </c>
      <c r="CS32" s="70" t="s">
        <v>76</v>
      </c>
      <c r="CV32" s="68" t="s">
        <v>228</v>
      </c>
      <c r="CW32" s="70" t="s">
        <v>8</v>
      </c>
      <c r="CX32" s="70" t="s">
        <v>22</v>
      </c>
      <c r="CY32" s="70" t="s">
        <v>38</v>
      </c>
      <c r="CZ32" s="70" t="s">
        <v>54</v>
      </c>
      <c r="DA32" s="70" t="s">
        <v>76</v>
      </c>
      <c r="DD32" s="68" t="s">
        <v>228</v>
      </c>
      <c r="DE32" s="70" t="s">
        <v>8</v>
      </c>
      <c r="DF32" s="70" t="s">
        <v>22</v>
      </c>
      <c r="DG32" s="70" t="s">
        <v>38</v>
      </c>
      <c r="DH32" s="70" t="s">
        <v>54</v>
      </c>
      <c r="DI32" s="70" t="s">
        <v>76</v>
      </c>
    </row>
    <row r="33" spans="2:113" ht="16">
      <c r="B33" s="139"/>
      <c r="C33" s="140"/>
      <c r="D33" s="141"/>
      <c r="T33" s="69" t="s">
        <v>229</v>
      </c>
      <c r="U33" s="57">
        <f>U17</f>
        <v>0.83333333333333337</v>
      </c>
      <c r="V33" s="57">
        <f>V17</f>
        <v>0.5714285714285714</v>
      </c>
      <c r="W33" s="57">
        <f>W17</f>
        <v>1</v>
      </c>
      <c r="X33" s="57">
        <f>X17</f>
        <v>1</v>
      </c>
      <c r="Y33" s="57">
        <f>Y17</f>
        <v>1</v>
      </c>
      <c r="Z33" s="55"/>
      <c r="AB33" s="69" t="s">
        <v>229</v>
      </c>
      <c r="AC33" s="57" t="e">
        <f>AC17</f>
        <v>#DIV/0!</v>
      </c>
      <c r="AD33" s="57" t="e">
        <f>AD17</f>
        <v>#DIV/0!</v>
      </c>
      <c r="AE33" s="57" t="e">
        <f>AE17</f>
        <v>#DIV/0!</v>
      </c>
      <c r="AF33" s="57" t="e">
        <f>AF17</f>
        <v>#DIV/0!</v>
      </c>
      <c r="AG33" s="57" t="e">
        <f>AG17</f>
        <v>#DIV/0!</v>
      </c>
      <c r="AJ33" s="69" t="s">
        <v>229</v>
      </c>
      <c r="AK33" s="57">
        <f>AK17</f>
        <v>0.83333333333333337</v>
      </c>
      <c r="AL33" s="57">
        <f>AL17</f>
        <v>0</v>
      </c>
      <c r="AM33" s="57">
        <f>AM17</f>
        <v>0</v>
      </c>
      <c r="AN33" s="57">
        <f>AN17</f>
        <v>0</v>
      </c>
      <c r="AO33" s="57">
        <f>AO17</f>
        <v>0.5714285714285714</v>
      </c>
      <c r="AR33" s="69" t="s">
        <v>229</v>
      </c>
      <c r="AS33" s="57">
        <f>AS17</f>
        <v>1</v>
      </c>
      <c r="AT33" s="57">
        <f>AT17</f>
        <v>0.42857142857142855</v>
      </c>
      <c r="AU33" s="57">
        <f>AU17</f>
        <v>1</v>
      </c>
      <c r="AV33" s="57">
        <f>AV17</f>
        <v>0</v>
      </c>
      <c r="AW33" s="57">
        <f>AW17</f>
        <v>0.42857142857142855</v>
      </c>
      <c r="AZ33" s="69" t="s">
        <v>229</v>
      </c>
      <c r="BA33" s="57">
        <f>BA17</f>
        <v>0.83333333333333337</v>
      </c>
      <c r="BB33" s="57">
        <f>BB17</f>
        <v>0</v>
      </c>
      <c r="BC33" s="57">
        <f>BC17</f>
        <v>0.2857142857142857</v>
      </c>
      <c r="BD33" s="57">
        <f>BD17</f>
        <v>0.1</v>
      </c>
      <c r="BE33" s="57">
        <f>BE17</f>
        <v>0.42857142857142855</v>
      </c>
      <c r="BH33" s="69" t="s">
        <v>229</v>
      </c>
      <c r="BI33" s="57">
        <f>BI17</f>
        <v>1</v>
      </c>
      <c r="BJ33" s="57">
        <f>BJ17</f>
        <v>0.42857142857142855</v>
      </c>
      <c r="BK33" s="57">
        <f>BK17</f>
        <v>0.42857142857142855</v>
      </c>
      <c r="BL33" s="57">
        <f>BL17</f>
        <v>1</v>
      </c>
      <c r="BM33" s="57">
        <f>BM17</f>
        <v>0.8571428571428571</v>
      </c>
      <c r="BP33" s="69" t="s">
        <v>229</v>
      </c>
      <c r="BQ33" s="57" t="e">
        <f>BQ17</f>
        <v>#DIV/0!</v>
      </c>
      <c r="BR33" s="57" t="e">
        <f>BR17</f>
        <v>#DIV/0!</v>
      </c>
      <c r="BS33" s="57" t="e">
        <f>BS17</f>
        <v>#DIV/0!</v>
      </c>
      <c r="BT33" s="57">
        <f>BT17</f>
        <v>0.25</v>
      </c>
      <c r="BU33" s="57">
        <f>BU17</f>
        <v>0</v>
      </c>
      <c r="BX33" s="69" t="s">
        <v>229</v>
      </c>
      <c r="BY33" s="57">
        <f>BY17</f>
        <v>0</v>
      </c>
      <c r="BZ33" s="57">
        <f>BZ17</f>
        <v>0</v>
      </c>
      <c r="CA33" s="57">
        <f>CA17</f>
        <v>0</v>
      </c>
      <c r="CB33" s="57">
        <f>CB17</f>
        <v>0</v>
      </c>
      <c r="CC33" s="57">
        <f>CC17</f>
        <v>0.35714285714285715</v>
      </c>
      <c r="CF33" s="69" t="s">
        <v>229</v>
      </c>
      <c r="CG33" s="57">
        <f>CG17</f>
        <v>0</v>
      </c>
      <c r="CH33" s="57">
        <f>CH17</f>
        <v>0</v>
      </c>
      <c r="CI33" s="57">
        <f>CI17</f>
        <v>0</v>
      </c>
      <c r="CJ33" s="57">
        <f>CJ17</f>
        <v>0</v>
      </c>
      <c r="CK33" s="57" t="e">
        <f>CK17</f>
        <v>#DIV/0!</v>
      </c>
      <c r="CN33" s="69" t="s">
        <v>229</v>
      </c>
      <c r="CO33" s="57" t="e">
        <f>CO17</f>
        <v>#DIV/0!</v>
      </c>
      <c r="CP33" s="57">
        <f>CP17</f>
        <v>0.75</v>
      </c>
      <c r="CQ33" s="57" t="e">
        <f>CQ17</f>
        <v>#DIV/0!</v>
      </c>
      <c r="CR33" s="57">
        <f>CR17</f>
        <v>4</v>
      </c>
      <c r="CS33" s="57" t="e">
        <f>CS17</f>
        <v>#DIV/0!</v>
      </c>
      <c r="CV33" s="69" t="s">
        <v>229</v>
      </c>
      <c r="CW33" s="57">
        <f>CW17</f>
        <v>0.33333333333333331</v>
      </c>
      <c r="CX33" s="57">
        <f>CX17</f>
        <v>0</v>
      </c>
      <c r="CY33" s="57">
        <f>CY17</f>
        <v>0.42857142857142855</v>
      </c>
      <c r="CZ33" s="57">
        <f>CZ17</f>
        <v>0.6</v>
      </c>
      <c r="DA33" s="57">
        <f>DA17</f>
        <v>0.6428571428571429</v>
      </c>
      <c r="DD33" s="69" t="s">
        <v>229</v>
      </c>
      <c r="DE33" s="57">
        <f>DE17</f>
        <v>1</v>
      </c>
      <c r="DF33" s="57">
        <f>DF17</f>
        <v>1</v>
      </c>
      <c r="DG33" s="57">
        <f>DG17</f>
        <v>1</v>
      </c>
      <c r="DH33" s="57">
        <f>DH17</f>
        <v>1</v>
      </c>
      <c r="DI33" s="57">
        <f>DI17</f>
        <v>1</v>
      </c>
    </row>
    <row r="34" spans="2:113" ht="16">
      <c r="B34" s="139"/>
      <c r="C34" s="140"/>
      <c r="D34" s="141"/>
      <c r="T34" s="69"/>
      <c r="U34" s="56"/>
      <c r="V34" s="56"/>
      <c r="W34" s="56"/>
      <c r="X34" s="56"/>
      <c r="Y34" s="56"/>
      <c r="AB34" s="69"/>
      <c r="AC34" s="56"/>
      <c r="AD34" s="56"/>
      <c r="AE34" s="56"/>
      <c r="AF34" s="56"/>
      <c r="AG34" s="56"/>
      <c r="AJ34" s="69"/>
      <c r="AK34" s="56"/>
      <c r="AL34" s="56"/>
      <c r="AM34" s="56"/>
      <c r="AN34" s="56"/>
      <c r="AO34" s="56"/>
      <c r="AR34" s="69"/>
      <c r="AS34" s="56"/>
      <c r="AT34" s="56"/>
      <c r="AU34" s="56"/>
      <c r="AV34" s="56"/>
      <c r="AW34" s="56"/>
      <c r="AZ34" s="69"/>
      <c r="BA34" s="56"/>
      <c r="BB34" s="56"/>
      <c r="BC34" s="56"/>
      <c r="BD34" s="56"/>
      <c r="BE34" s="56"/>
      <c r="BH34" s="69"/>
      <c r="BI34" s="56"/>
      <c r="BJ34" s="56"/>
      <c r="BK34" s="56"/>
      <c r="BL34" s="56"/>
      <c r="BM34" s="56"/>
      <c r="BP34" s="69"/>
      <c r="BQ34" s="56"/>
      <c r="BR34" s="56"/>
      <c r="BS34" s="56"/>
      <c r="BT34" s="56"/>
      <c r="BU34" s="56"/>
      <c r="BX34" s="69"/>
      <c r="BY34" s="56"/>
      <c r="BZ34" s="56"/>
      <c r="CA34" s="56"/>
      <c r="CB34" s="56"/>
      <c r="CC34" s="56"/>
      <c r="CF34" s="69"/>
      <c r="CG34" s="56"/>
      <c r="CH34" s="56"/>
      <c r="CI34" s="56"/>
      <c r="CJ34" s="56"/>
      <c r="CK34" s="56"/>
      <c r="CN34" s="69"/>
      <c r="CO34" s="56"/>
      <c r="CP34" s="56"/>
      <c r="CQ34" s="56"/>
      <c r="CR34" s="56"/>
      <c r="CS34" s="56"/>
      <c r="CV34" s="69"/>
      <c r="CW34" s="56"/>
      <c r="CX34" s="56"/>
      <c r="CY34" s="56"/>
      <c r="CZ34" s="56"/>
      <c r="DA34" s="56"/>
      <c r="DD34" s="69"/>
      <c r="DE34" s="56"/>
      <c r="DF34" s="56"/>
      <c r="DG34" s="56"/>
      <c r="DH34" s="56"/>
      <c r="DI34" s="56"/>
    </row>
    <row r="35" spans="2:113" ht="16">
      <c r="B35" s="139"/>
      <c r="C35" s="140"/>
      <c r="D35" s="141"/>
    </row>
    <row r="36" spans="2:113" ht="16"/>
    <row r="37" spans="2:113" ht="16">
      <c r="B37" s="432" t="s">
        <v>124</v>
      </c>
      <c r="C37" s="433"/>
      <c r="D37" s="433"/>
      <c r="E37" s="101" t="s">
        <v>225</v>
      </c>
      <c r="F37" s="101" t="s">
        <v>226</v>
      </c>
      <c r="G37" s="101" t="s">
        <v>225</v>
      </c>
      <c r="H37" s="101" t="s">
        <v>226</v>
      </c>
      <c r="I37" s="101" t="s">
        <v>225</v>
      </c>
      <c r="J37" s="101" t="s">
        <v>226</v>
      </c>
      <c r="K37" s="101" t="s">
        <v>225</v>
      </c>
      <c r="L37" s="101" t="s">
        <v>226</v>
      </c>
      <c r="M37" s="101" t="s">
        <v>225</v>
      </c>
      <c r="N37" s="142" t="s">
        <v>226</v>
      </c>
      <c r="O37" s="146" t="s">
        <v>225</v>
      </c>
      <c r="P37" s="132" t="s">
        <v>226</v>
      </c>
      <c r="Q37" s="104" t="s">
        <v>230</v>
      </c>
      <c r="R37" s="68"/>
    </row>
    <row r="38" spans="2:113" ht="15.75" customHeight="1">
      <c r="B38" s="399" t="str">
        <f>$T$1</f>
        <v>Bryte Activation</v>
      </c>
      <c r="C38" s="400"/>
      <c r="D38" s="401"/>
      <c r="E38" s="102">
        <f>U19</f>
        <v>0</v>
      </c>
      <c r="F38" s="103" t="e">
        <f>U20</f>
        <v>#VALUE!</v>
      </c>
      <c r="G38" s="102">
        <f>V19</f>
        <v>0</v>
      </c>
      <c r="H38" s="103" t="e">
        <f>V20</f>
        <v>#VALUE!</v>
      </c>
      <c r="I38" s="102">
        <f>W19</f>
        <v>0</v>
      </c>
      <c r="J38" s="103" t="e">
        <f>W20</f>
        <v>#VALUE!</v>
      </c>
      <c r="K38" s="102">
        <f>X19</f>
        <v>0</v>
      </c>
      <c r="L38" s="103" t="e">
        <f>X20</f>
        <v>#VALUE!</v>
      </c>
      <c r="M38" s="102">
        <f>Y19</f>
        <v>0</v>
      </c>
      <c r="N38" s="143" t="e">
        <f>Y20</f>
        <v>#VALUE!</v>
      </c>
      <c r="O38" s="130">
        <f t="shared" ref="O38:O42" si="14">SUM(E38,G38,I38,K38,M38)</f>
        <v>0</v>
      </c>
      <c r="P38" s="130" t="e">
        <f t="shared" ref="P38:P42" si="15">SUM(F38,H38,J38,L38,N38)</f>
        <v>#VALUE!</v>
      </c>
      <c r="Q38" s="137">
        <f t="shared" ref="Q38:Q50" si="16">IFERROR(P38/O38,0)</f>
        <v>0</v>
      </c>
      <c r="R38" s="105"/>
    </row>
    <row r="39" spans="2:113" ht="16">
      <c r="B39" s="399" t="str">
        <f>$AB$1</f>
        <v>Intent Classifier And Entity Recognition</v>
      </c>
      <c r="C39" s="400"/>
      <c r="D39" s="401"/>
      <c r="E39" s="102">
        <f>AC19</f>
        <v>0</v>
      </c>
      <c r="F39" s="103" t="e">
        <f>AC20</f>
        <v>#VALUE!</v>
      </c>
      <c r="G39" s="102">
        <f>AD19</f>
        <v>0</v>
      </c>
      <c r="H39" s="103" t="e">
        <f>AD20</f>
        <v>#VALUE!</v>
      </c>
      <c r="I39" s="102">
        <f>AE19</f>
        <v>0</v>
      </c>
      <c r="J39" s="103" t="e">
        <f>AE20</f>
        <v>#VALUE!</v>
      </c>
      <c r="K39" s="102">
        <f>AF19</f>
        <v>0</v>
      </c>
      <c r="L39" s="103" t="e">
        <f>AF20</f>
        <v>#VALUE!</v>
      </c>
      <c r="M39" s="102">
        <f>AG19</f>
        <v>0</v>
      </c>
      <c r="N39" s="143" t="e">
        <f>AG20</f>
        <v>#VALUE!</v>
      </c>
      <c r="O39" s="131">
        <f t="shared" si="14"/>
        <v>0</v>
      </c>
      <c r="P39" s="131" t="e">
        <f t="shared" si="15"/>
        <v>#VALUE!</v>
      </c>
      <c r="Q39" s="138">
        <f t="shared" si="16"/>
        <v>0</v>
      </c>
      <c r="R39" s="105"/>
    </row>
    <row r="40" spans="2:113" ht="15.75" customHeight="1">
      <c r="B40" s="399" t="str">
        <f>$AJ$1</f>
        <v>Skills</v>
      </c>
      <c r="C40" s="400"/>
      <c r="D40" s="401"/>
      <c r="E40" s="102">
        <f>AK19</f>
        <v>0</v>
      </c>
      <c r="F40" s="103" t="e">
        <f>AK20</f>
        <v>#VALUE!</v>
      </c>
      <c r="G40" s="102">
        <f>AL19</f>
        <v>0</v>
      </c>
      <c r="H40" s="103" t="e">
        <f>AL20</f>
        <v>#VALUE!</v>
      </c>
      <c r="I40" s="102">
        <f>AM19</f>
        <v>0</v>
      </c>
      <c r="J40" s="103" t="e">
        <f>AM20</f>
        <v>#VALUE!</v>
      </c>
      <c r="K40" s="102">
        <f>AN19</f>
        <v>0</v>
      </c>
      <c r="L40" s="103" t="e">
        <f>AN20</f>
        <v>#VALUE!</v>
      </c>
      <c r="M40" s="102">
        <f>AO19</f>
        <v>0</v>
      </c>
      <c r="N40" s="143" t="e">
        <f>AO20</f>
        <v>#VALUE!</v>
      </c>
      <c r="O40" s="131">
        <f t="shared" si="14"/>
        <v>0</v>
      </c>
      <c r="P40" s="131" t="e">
        <f t="shared" si="15"/>
        <v>#VALUE!</v>
      </c>
      <c r="Q40" s="138">
        <f t="shared" si="16"/>
        <v>0</v>
      </c>
      <c r="R40" s="105"/>
    </row>
    <row r="41" spans="2:113" ht="15.75" customHeight="1">
      <c r="B41" s="399" t="str">
        <f>$AR$1</f>
        <v>DSAAS</v>
      </c>
      <c r="C41" s="400"/>
      <c r="D41" s="401"/>
      <c r="E41" s="102">
        <f>AS19</f>
        <v>0</v>
      </c>
      <c r="F41" s="103" t="e">
        <f>AS20</f>
        <v>#VALUE!</v>
      </c>
      <c r="G41" s="102">
        <f>AT19</f>
        <v>0</v>
      </c>
      <c r="H41" s="103" t="e">
        <f>AT20</f>
        <v>#VALUE!</v>
      </c>
      <c r="I41" s="102">
        <f>AU19</f>
        <v>0</v>
      </c>
      <c r="J41" s="103" t="e">
        <f>AU20</f>
        <v>#VALUE!</v>
      </c>
      <c r="K41" s="102">
        <f>AV19</f>
        <v>0</v>
      </c>
      <c r="L41" s="103" t="e">
        <f>AV20</f>
        <v>#VALUE!</v>
      </c>
      <c r="M41" s="102">
        <f>AW19</f>
        <v>0</v>
      </c>
      <c r="N41" s="143" t="e">
        <f>AW20</f>
        <v>#VALUE!</v>
      </c>
      <c r="O41" s="131">
        <f t="shared" si="14"/>
        <v>0</v>
      </c>
      <c r="P41" s="131" t="e">
        <f t="shared" si="15"/>
        <v>#VALUE!</v>
      </c>
      <c r="Q41" s="138">
        <f t="shared" si="16"/>
        <v>0</v>
      </c>
      <c r="R41" s="105"/>
    </row>
    <row r="42" spans="2:113" ht="15.75" customHeight="1">
      <c r="B42" s="399" t="str">
        <f>$AZ$1</f>
        <v>RAG</v>
      </c>
      <c r="C42" s="400"/>
      <c r="D42" s="401"/>
      <c r="E42" s="102">
        <f>BA19</f>
        <v>0</v>
      </c>
      <c r="F42" s="103" t="e">
        <f>BA20</f>
        <v>#VALUE!</v>
      </c>
      <c r="G42" s="102">
        <f>BB19</f>
        <v>0</v>
      </c>
      <c r="H42" s="103" t="e">
        <f>BB20</f>
        <v>#VALUE!</v>
      </c>
      <c r="I42" s="102">
        <f>BC19</f>
        <v>0</v>
      </c>
      <c r="J42" s="103" t="e">
        <f>BC20</f>
        <v>#VALUE!</v>
      </c>
      <c r="K42" s="102">
        <f>BD19</f>
        <v>0</v>
      </c>
      <c r="L42" s="103" t="e">
        <f>BD20</f>
        <v>#VALUE!</v>
      </c>
      <c r="M42" s="102">
        <f>BE19</f>
        <v>0</v>
      </c>
      <c r="N42" s="143" t="e">
        <f>BE20</f>
        <v>#VALUE!</v>
      </c>
      <c r="O42" s="131">
        <f t="shared" si="14"/>
        <v>0</v>
      </c>
      <c r="P42" s="131" t="e">
        <f t="shared" si="15"/>
        <v>#VALUE!</v>
      </c>
      <c r="Q42" s="138">
        <f t="shared" si="16"/>
        <v>0</v>
      </c>
      <c r="R42" s="105"/>
    </row>
    <row r="43" spans="2:113" ht="15.75" customHeight="1">
      <c r="B43" s="399" t="str">
        <f>BH1</f>
        <v>Agent Framework</v>
      </c>
      <c r="C43" s="400"/>
      <c r="D43" s="401"/>
      <c r="E43" s="102">
        <f>BI19</f>
        <v>0</v>
      </c>
      <c r="F43" s="103" t="e">
        <f>BI20</f>
        <v>#VALUE!</v>
      </c>
      <c r="G43" s="102">
        <f>BJ19</f>
        <v>0</v>
      </c>
      <c r="H43" s="103" t="e">
        <f>BJ20</f>
        <v>#VALUE!</v>
      </c>
      <c r="I43" s="102">
        <f>BK19</f>
        <v>0</v>
      </c>
      <c r="J43" s="103" t="e">
        <f>BK20</f>
        <v>#VALUE!</v>
      </c>
      <c r="K43" s="102">
        <f>BL19</f>
        <v>0</v>
      </c>
      <c r="L43" s="103" t="e">
        <f>BL20</f>
        <v>#VALUE!</v>
      </c>
      <c r="M43" s="102">
        <f>BM19</f>
        <v>0</v>
      </c>
      <c r="N43" s="143" t="e">
        <f>BM20</f>
        <v>#VALUE!</v>
      </c>
      <c r="O43" s="131">
        <f t="shared" ref="O43:P49" si="17">SUM(E43,G43,I43,K43,M43)</f>
        <v>0</v>
      </c>
      <c r="P43" s="131" t="e">
        <f t="shared" si="17"/>
        <v>#VALUE!</v>
      </c>
      <c r="Q43" s="138">
        <f t="shared" si="16"/>
        <v>0</v>
      </c>
      <c r="R43" s="105"/>
    </row>
    <row r="44" spans="2:113" ht="15.75" customHeight="1">
      <c r="B44" s="399" t="str">
        <f>BP1</f>
        <v>URIKA</v>
      </c>
      <c r="C44" s="400"/>
      <c r="D44" s="401"/>
      <c r="E44" s="102">
        <f>BQ19</f>
        <v>0</v>
      </c>
      <c r="F44" s="103" t="e">
        <f>BQ20</f>
        <v>#VALUE!</v>
      </c>
      <c r="G44" s="102">
        <f>BR19</f>
        <v>0</v>
      </c>
      <c r="H44" s="103" t="e">
        <f>BR20</f>
        <v>#VALUE!</v>
      </c>
      <c r="I44" s="102">
        <f>BS19</f>
        <v>0</v>
      </c>
      <c r="J44" s="103" t="e">
        <f>BS20</f>
        <v>#VALUE!</v>
      </c>
      <c r="K44" s="102">
        <f>BT19</f>
        <v>0</v>
      </c>
      <c r="L44" s="103" t="e">
        <f>BT20</f>
        <v>#VALUE!</v>
      </c>
      <c r="M44" s="102">
        <f>BU19</f>
        <v>0</v>
      </c>
      <c r="N44" s="143" t="e">
        <f>BU20</f>
        <v>#VALUE!</v>
      </c>
      <c r="O44" s="131">
        <f t="shared" si="17"/>
        <v>0</v>
      </c>
      <c r="P44" s="131" t="e">
        <f t="shared" si="17"/>
        <v>#VALUE!</v>
      </c>
      <c r="Q44" s="138">
        <f t="shared" si="16"/>
        <v>0</v>
      </c>
      <c r="R44" s="105"/>
    </row>
    <row r="45" spans="2:113" ht="15.75" customHeight="1">
      <c r="B45" s="399" t="str">
        <f>BX1</f>
        <v>Mission Control</v>
      </c>
      <c r="C45" s="400"/>
      <c r="D45" s="401"/>
      <c r="E45" s="102">
        <f>BY19</f>
        <v>0</v>
      </c>
      <c r="F45" s="103" t="e">
        <f>BY20</f>
        <v>#VALUE!</v>
      </c>
      <c r="G45" s="102">
        <f>BZ19</f>
        <v>0</v>
      </c>
      <c r="H45" s="103" t="e">
        <f>BZ20</f>
        <v>#VALUE!</v>
      </c>
      <c r="I45" s="102">
        <f>CA19</f>
        <v>0</v>
      </c>
      <c r="J45" s="103" t="e">
        <f>CA20</f>
        <v>#VALUE!</v>
      </c>
      <c r="K45" s="102">
        <f>CB19</f>
        <v>0</v>
      </c>
      <c r="L45" s="103" t="e">
        <f>CB20</f>
        <v>#VALUE!</v>
      </c>
      <c r="M45" s="102">
        <f>CC19</f>
        <v>0</v>
      </c>
      <c r="N45" s="143" t="e">
        <f>CC20</f>
        <v>#VALUE!</v>
      </c>
      <c r="O45" s="131">
        <f t="shared" si="17"/>
        <v>0</v>
      </c>
      <c r="P45" s="131" t="e">
        <f t="shared" si="17"/>
        <v>#VALUE!</v>
      </c>
      <c r="Q45" s="138">
        <f t="shared" si="16"/>
        <v>0</v>
      </c>
      <c r="R45" s="105"/>
    </row>
    <row r="46" spans="2:113" ht="15.75" customHeight="1">
      <c r="B46" s="399" t="str">
        <f>CF1</f>
        <v>UKG GPT</v>
      </c>
      <c r="C46" s="400"/>
      <c r="D46" s="401"/>
      <c r="E46" s="102">
        <f>CG19</f>
        <v>0</v>
      </c>
      <c r="F46" s="103" t="e">
        <f>CG20</f>
        <v>#VALUE!</v>
      </c>
      <c r="G46" s="102">
        <f>CH19</f>
        <v>0</v>
      </c>
      <c r="H46" s="103" t="e">
        <f>CH20</f>
        <v>#VALUE!</v>
      </c>
      <c r="I46" s="102">
        <f>CI19</f>
        <v>0</v>
      </c>
      <c r="J46" s="103" t="e">
        <f>CI20</f>
        <v>#VALUE!</v>
      </c>
      <c r="K46" s="102">
        <f>CJ19</f>
        <v>0</v>
      </c>
      <c r="L46" s="103" t="e">
        <f>CJ20</f>
        <v>#VALUE!</v>
      </c>
      <c r="M46" s="102">
        <f>CK19</f>
        <v>0</v>
      </c>
      <c r="N46" s="143" t="e">
        <f>CK20</f>
        <v>#VALUE!</v>
      </c>
      <c r="O46" s="131">
        <f t="shared" si="17"/>
        <v>0</v>
      </c>
      <c r="P46" s="131" t="e">
        <f t="shared" si="17"/>
        <v>#VALUE!</v>
      </c>
      <c r="Q46" s="138">
        <f t="shared" si="16"/>
        <v>0</v>
      </c>
      <c r="R46" s="105"/>
    </row>
    <row r="47" spans="2:113" ht="15.75" customHeight="1">
      <c r="B47" s="399" t="str">
        <f>CN1</f>
        <v>GPTW/DEIB</v>
      </c>
      <c r="C47" s="400"/>
      <c r="D47" s="401"/>
      <c r="E47" s="102">
        <f>CO19</f>
        <v>0</v>
      </c>
      <c r="F47" s="103" t="e">
        <f>CO20</f>
        <v>#VALUE!</v>
      </c>
      <c r="G47" s="102">
        <f>CP19</f>
        <v>0</v>
      </c>
      <c r="H47" s="103" t="e">
        <f>CP20</f>
        <v>#VALUE!</v>
      </c>
      <c r="I47" s="102">
        <f>CQ19</f>
        <v>0</v>
      </c>
      <c r="J47" s="103" t="e">
        <f>CQ20</f>
        <v>#VALUE!</v>
      </c>
      <c r="K47" s="102">
        <f>CR19</f>
        <v>0</v>
      </c>
      <c r="L47" s="103" t="e">
        <f>CR20</f>
        <v>#VALUE!</v>
      </c>
      <c r="M47" s="102">
        <f>CS19</f>
        <v>0</v>
      </c>
      <c r="N47" s="143" t="e">
        <f>CS20</f>
        <v>#VALUE!</v>
      </c>
      <c r="O47" s="131">
        <f t="shared" si="17"/>
        <v>0</v>
      </c>
      <c r="P47" s="131" t="e">
        <f t="shared" si="17"/>
        <v>#VALUE!</v>
      </c>
      <c r="Q47" s="138">
        <f t="shared" si="16"/>
        <v>0</v>
      </c>
      <c r="R47" s="105"/>
    </row>
    <row r="48" spans="2:113" ht="15.75" customHeight="1">
      <c r="B48" s="399" t="str">
        <f>CV1</f>
        <v>Tech Platform</v>
      </c>
      <c r="C48" s="400"/>
      <c r="D48" s="401"/>
      <c r="E48" s="102">
        <f>CW19</f>
        <v>0</v>
      </c>
      <c r="F48" s="103" t="e">
        <f>CW20</f>
        <v>#VALUE!</v>
      </c>
      <c r="G48" s="102">
        <f>CX19</f>
        <v>0</v>
      </c>
      <c r="H48" s="103" t="e">
        <f>CX20</f>
        <v>#VALUE!</v>
      </c>
      <c r="I48" s="102">
        <f>CY19</f>
        <v>0</v>
      </c>
      <c r="J48" s="103" t="e">
        <f>CY20</f>
        <v>#VALUE!</v>
      </c>
      <c r="K48" s="102">
        <f>CZ19</f>
        <v>0</v>
      </c>
      <c r="L48" s="103" t="e">
        <f>CZ20</f>
        <v>#VALUE!</v>
      </c>
      <c r="M48" s="102">
        <f>DA19</f>
        <v>0</v>
      </c>
      <c r="N48" s="143" t="e">
        <f>DA20</f>
        <v>#VALUE!</v>
      </c>
      <c r="O48" s="131">
        <f t="shared" si="17"/>
        <v>0</v>
      </c>
      <c r="P48" s="131" t="e">
        <f t="shared" si="17"/>
        <v>#VALUE!</v>
      </c>
      <c r="Q48" s="138">
        <f t="shared" si="16"/>
        <v>0</v>
      </c>
      <c r="R48" s="105"/>
    </row>
    <row r="49" spans="2:18" ht="15.75" customHeight="1">
      <c r="B49" s="426" t="str">
        <f>DD1</f>
        <v>PGE</v>
      </c>
      <c r="C49" s="427"/>
      <c r="D49" s="428"/>
      <c r="E49" s="135">
        <f>DE19</f>
        <v>0</v>
      </c>
      <c r="F49" s="136" t="e">
        <f>DE20</f>
        <v>#VALUE!</v>
      </c>
      <c r="G49" s="135">
        <f>DF19</f>
        <v>0</v>
      </c>
      <c r="H49" s="136" t="e">
        <f>DF20</f>
        <v>#VALUE!</v>
      </c>
      <c r="I49" s="135">
        <f>DG19</f>
        <v>0</v>
      </c>
      <c r="J49" s="136" t="e">
        <f>DG20</f>
        <v>#VALUE!</v>
      </c>
      <c r="K49" s="135">
        <f>DH19</f>
        <v>0</v>
      </c>
      <c r="L49" s="136" t="e">
        <f>DH20</f>
        <v>#VALUE!</v>
      </c>
      <c r="M49" s="135">
        <f>DI19</f>
        <v>0</v>
      </c>
      <c r="N49" s="144" t="e">
        <f>DI20</f>
        <v>#VALUE!</v>
      </c>
      <c r="O49" s="131">
        <f t="shared" si="17"/>
        <v>0</v>
      </c>
      <c r="P49" s="131" t="e">
        <f t="shared" si="17"/>
        <v>#VALUE!</v>
      </c>
      <c r="Q49" s="138">
        <f t="shared" si="16"/>
        <v>0</v>
      </c>
      <c r="R49" s="105"/>
    </row>
    <row r="50" spans="2:18" ht="15.75" customHeight="1">
      <c r="B50" s="423" t="s">
        <v>217</v>
      </c>
      <c r="C50" s="424"/>
      <c r="D50" s="425"/>
      <c r="E50" s="133">
        <f t="shared" ref="E50:P50" si="18">SUM(E38:E49)</f>
        <v>0</v>
      </c>
      <c r="F50" s="134" t="e">
        <f t="shared" si="18"/>
        <v>#VALUE!</v>
      </c>
      <c r="G50" s="133">
        <f t="shared" si="18"/>
        <v>0</v>
      </c>
      <c r="H50" s="134" t="e">
        <f t="shared" si="18"/>
        <v>#VALUE!</v>
      </c>
      <c r="I50" s="133">
        <f t="shared" si="18"/>
        <v>0</v>
      </c>
      <c r="J50" s="134" t="e">
        <f t="shared" si="18"/>
        <v>#VALUE!</v>
      </c>
      <c r="K50" s="133">
        <f t="shared" si="18"/>
        <v>0</v>
      </c>
      <c r="L50" s="134" t="e">
        <f t="shared" si="18"/>
        <v>#VALUE!</v>
      </c>
      <c r="M50" s="133">
        <f t="shared" si="18"/>
        <v>0</v>
      </c>
      <c r="N50" s="145" t="e">
        <f t="shared" si="18"/>
        <v>#VALUE!</v>
      </c>
      <c r="O50" s="413">
        <f t="shared" si="18"/>
        <v>0</v>
      </c>
      <c r="P50" s="402" t="e">
        <f t="shared" si="18"/>
        <v>#VALUE!</v>
      </c>
      <c r="Q50" s="404">
        <f t="shared" si="16"/>
        <v>0</v>
      </c>
      <c r="R50" s="105"/>
    </row>
    <row r="51" spans="2:18" ht="15.75" customHeight="1">
      <c r="B51" s="406" t="s">
        <v>230</v>
      </c>
      <c r="C51" s="407"/>
      <c r="D51" s="407"/>
      <c r="E51" s="408">
        <f>IFERROR(F50/E50,0)</f>
        <v>0</v>
      </c>
      <c r="F51" s="409"/>
      <c r="G51" s="408">
        <f>IFERROR(H50/G50,0)</f>
        <v>0</v>
      </c>
      <c r="H51" s="409"/>
      <c r="I51" s="408">
        <f>IFERROR(J50/I50,0)</f>
        <v>0</v>
      </c>
      <c r="J51" s="409"/>
      <c r="K51" s="408">
        <f>IFERROR(L50/K50,0)</f>
        <v>0</v>
      </c>
      <c r="L51" s="409"/>
      <c r="M51" s="410">
        <f>IFERROR(N50/M50,0)</f>
        <v>0</v>
      </c>
      <c r="N51" s="411"/>
      <c r="O51" s="414"/>
      <c r="P51" s="403"/>
      <c r="Q51" s="405"/>
      <c r="R51" s="105"/>
    </row>
    <row r="52" spans="2:18" ht="15.75" customHeight="1">
      <c r="B52" s="415"/>
      <c r="C52" s="415"/>
      <c r="D52" s="415"/>
      <c r="E52" s="102"/>
      <c r="F52" s="102"/>
      <c r="G52" s="102"/>
      <c r="H52" s="102"/>
      <c r="I52" s="102"/>
      <c r="J52" s="102"/>
      <c r="K52" s="102"/>
      <c r="L52" s="102"/>
      <c r="M52" s="102"/>
      <c r="N52" s="102"/>
      <c r="O52" s="105"/>
      <c r="P52" s="105"/>
      <c r="Q52" s="308"/>
      <c r="R52" s="105"/>
    </row>
    <row r="53" spans="2:18" ht="15.75" customHeight="1">
      <c r="B53" s="415"/>
      <c r="C53" s="415"/>
      <c r="D53" s="415"/>
      <c r="E53" s="102"/>
      <c r="F53" s="102"/>
      <c r="G53" s="102"/>
      <c r="H53" s="102"/>
      <c r="I53" s="102"/>
      <c r="J53" s="102"/>
      <c r="K53" s="102"/>
      <c r="L53" s="102"/>
      <c r="M53" s="102"/>
      <c r="N53" s="102"/>
      <c r="O53" s="105"/>
      <c r="P53" s="105"/>
      <c r="Q53" s="308"/>
      <c r="R53" s="105"/>
    </row>
    <row r="54" spans="2:18" ht="15.75" customHeight="1">
      <c r="B54" s="395"/>
      <c r="C54" s="395"/>
      <c r="D54" s="395"/>
      <c r="E54" s="105"/>
      <c r="F54" s="105"/>
      <c r="G54" s="105"/>
      <c r="H54" s="105"/>
      <c r="I54" s="105"/>
      <c r="J54" s="105"/>
      <c r="K54" s="105"/>
      <c r="L54" s="105"/>
      <c r="M54" s="105"/>
      <c r="N54" s="105"/>
      <c r="O54" s="419"/>
      <c r="P54" s="419"/>
      <c r="Q54" s="417"/>
      <c r="R54" s="106"/>
    </row>
    <row r="55" spans="2:18" ht="15.75" customHeight="1">
      <c r="B55" s="416"/>
      <c r="C55" s="416"/>
      <c r="D55" s="416"/>
      <c r="E55" s="418"/>
      <c r="F55" s="418"/>
      <c r="G55" s="418"/>
      <c r="H55" s="418"/>
      <c r="I55" s="418"/>
      <c r="J55" s="418"/>
      <c r="K55" s="418"/>
      <c r="L55" s="418"/>
      <c r="M55" s="418"/>
      <c r="N55" s="418"/>
      <c r="O55" s="419"/>
      <c r="P55" s="419"/>
      <c r="Q55" s="417"/>
    </row>
  </sheetData>
  <mergeCells count="81">
    <mergeCell ref="S1:S1048576"/>
    <mergeCell ref="B38:D38"/>
    <mergeCell ref="B39:D39"/>
    <mergeCell ref="B52:D52"/>
    <mergeCell ref="B20:D20"/>
    <mergeCell ref="B21:D21"/>
    <mergeCell ref="B22:D22"/>
    <mergeCell ref="B29:D29"/>
    <mergeCell ref="B30:D30"/>
    <mergeCell ref="B50:D50"/>
    <mergeCell ref="B49:D49"/>
    <mergeCell ref="K51:L51"/>
    <mergeCell ref="F3:M3"/>
    <mergeCell ref="B43:D43"/>
    <mergeCell ref="B44:D44"/>
    <mergeCell ref="B37:D37"/>
    <mergeCell ref="B53:D53"/>
    <mergeCell ref="AB18:AH18"/>
    <mergeCell ref="AJ1:AP1"/>
    <mergeCell ref="T18:Z18"/>
    <mergeCell ref="B55:D55"/>
    <mergeCell ref="Q54:Q55"/>
    <mergeCell ref="E55:F55"/>
    <mergeCell ref="G55:H55"/>
    <mergeCell ref="I55:J55"/>
    <mergeCell ref="K55:L55"/>
    <mergeCell ref="B1:Q1"/>
    <mergeCell ref="M55:N55"/>
    <mergeCell ref="B54:D54"/>
    <mergeCell ref="O54:O55"/>
    <mergeCell ref="P54:P55"/>
    <mergeCell ref="I51:J51"/>
    <mergeCell ref="B42:D42"/>
    <mergeCell ref="B28:D28"/>
    <mergeCell ref="B40:D40"/>
    <mergeCell ref="B41:D41"/>
    <mergeCell ref="O50:O51"/>
    <mergeCell ref="BG1:BG1048576"/>
    <mergeCell ref="AA1:AA1048576"/>
    <mergeCell ref="T1:Z1"/>
    <mergeCell ref="AB1:AH1"/>
    <mergeCell ref="AI1:AI1048576"/>
    <mergeCell ref="AY1:AY1048576"/>
    <mergeCell ref="AZ18:BF18"/>
    <mergeCell ref="AR18:AX18"/>
    <mergeCell ref="AZ1:BF1"/>
    <mergeCell ref="AR1:AX1"/>
    <mergeCell ref="AQ1:AQ1048576"/>
    <mergeCell ref="AJ18:AP18"/>
    <mergeCell ref="P50:P51"/>
    <mergeCell ref="Q50:Q51"/>
    <mergeCell ref="B51:D51"/>
    <mergeCell ref="E51:F51"/>
    <mergeCell ref="G51:H51"/>
    <mergeCell ref="M51:N51"/>
    <mergeCell ref="BX18:CD18"/>
    <mergeCell ref="CF1:CL1"/>
    <mergeCell ref="CM1:CM1048576"/>
    <mergeCell ref="CF18:CL18"/>
    <mergeCell ref="BH1:BN1"/>
    <mergeCell ref="BO1:BO1048576"/>
    <mergeCell ref="BH18:BN18"/>
    <mergeCell ref="BP1:BV1"/>
    <mergeCell ref="BW1:BW1048576"/>
    <mergeCell ref="BP18:BV18"/>
    <mergeCell ref="DD1:DJ1"/>
    <mergeCell ref="DK1:DK1048576"/>
    <mergeCell ref="DD18:DJ18"/>
    <mergeCell ref="M5:M16"/>
    <mergeCell ref="B45:D45"/>
    <mergeCell ref="B46:D46"/>
    <mergeCell ref="B47:D47"/>
    <mergeCell ref="B48:D48"/>
    <mergeCell ref="CN1:CT1"/>
    <mergeCell ref="CU1:CU1048576"/>
    <mergeCell ref="CN18:CT18"/>
    <mergeCell ref="CV1:DB1"/>
    <mergeCell ref="DC1:DC1048576"/>
    <mergeCell ref="CV18:DB18"/>
    <mergeCell ref="BX1:CD1"/>
    <mergeCell ref="CE1:CE1048576"/>
  </mergeCells>
  <conditionalFormatting sqref="G5:K16">
    <cfRule type="cellIs" dxfId="20" priority="1" operator="greaterThanOrEqual">
      <formula>25%</formula>
    </cfRule>
  </conditionalFormatting>
  <pageMargins left="0.7" right="0.7" top="0.75" bottom="0.75" header="0.3" footer="0.3"/>
  <drawing r:id="rId1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CD070-8C70-E749-AADB-B770648D98D7}">
  <sheetPr codeName="Sheet10">
    <tabColor theme="8" tint="0.79998168889431442"/>
  </sheetPr>
  <dimension ref="B1:CJ63"/>
  <sheetViews>
    <sheetView zoomScale="114" zoomScaleNormal="100" workbookViewId="0">
      <pane xSplit="3" ySplit="12" topLeftCell="R18" activePane="bottomRight" state="frozen"/>
      <selection pane="topRight"/>
      <selection pane="bottomLeft"/>
      <selection pane="bottomRight" activeCell="V19" sqref="V19"/>
    </sheetView>
  </sheetViews>
  <sheetFormatPr baseColWidth="10" defaultColWidth="11" defaultRowHeight="15.75" customHeight="1" outlineLevelRow="1"/>
  <cols>
    <col min="1" max="1" width="1.5" customWidth="1"/>
    <col min="2" max="2" width="7" bestFit="1" customWidth="1"/>
    <col min="3" max="3" width="54.1640625" customWidth="1"/>
    <col min="4" max="4" width="16.5" style="32" customWidth="1"/>
    <col min="5" max="5" width="17" style="32" customWidth="1"/>
    <col min="6" max="6" width="12.5" style="32" customWidth="1"/>
    <col min="7" max="7" width="35.6640625" style="32" customWidth="1"/>
    <col min="8" max="8" width="8" style="32" customWidth="1"/>
    <col min="9" max="9" width="16.5" style="32" customWidth="1"/>
    <col min="10" max="10" width="17" style="32" customWidth="1"/>
    <col min="11" max="11" width="12.5" style="32" customWidth="1"/>
    <col min="12" max="12" width="24.5" style="32" customWidth="1"/>
    <col min="13" max="13" width="50" style="32" customWidth="1"/>
    <col min="14" max="14" width="11.1640625" style="32" customWidth="1"/>
    <col min="15" max="15" width="17.1640625" style="32" customWidth="1"/>
    <col min="16" max="16" width="16" style="32" customWidth="1"/>
    <col min="17" max="17" width="24.1640625" style="32" customWidth="1"/>
    <col min="18" max="18" width="17.6640625" style="32" customWidth="1"/>
    <col min="19" max="19" width="13.1640625" style="32" customWidth="1"/>
    <col min="20" max="20" width="16.6640625" style="32" customWidth="1"/>
    <col min="21" max="21" width="18" style="32" customWidth="1"/>
    <col min="22" max="23" width="23.1640625" style="32" customWidth="1"/>
    <col min="24" max="24" width="16.5" style="212" customWidth="1"/>
    <col min="25" max="25" width="17" style="32" customWidth="1"/>
    <col min="26" max="26" width="12.5" style="32" customWidth="1"/>
    <col min="27" max="27" width="10" style="32" customWidth="1"/>
    <col min="28" max="28" width="8" style="32" customWidth="1"/>
    <col min="29" max="29" width="16.5" style="32" customWidth="1"/>
    <col min="30" max="30" width="17" style="32" customWidth="1"/>
    <col min="31" max="31" width="12.5" style="32" customWidth="1"/>
    <col min="32" max="32" width="10" style="32" customWidth="1"/>
    <col min="33" max="33" width="8" style="32" customWidth="1"/>
    <col min="34" max="34" width="16.5" style="32" customWidth="1"/>
    <col min="35" max="35" width="17" style="32" customWidth="1"/>
    <col min="36" max="36" width="12.5" style="32" customWidth="1"/>
    <col min="37" max="37" width="10" customWidth="1"/>
    <col min="38" max="38" width="8" style="32" customWidth="1"/>
    <col min="39" max="39" width="16.5" style="32" customWidth="1"/>
    <col min="40" max="40" width="17" style="32" customWidth="1"/>
    <col min="41" max="41" width="27.1640625" style="32" customWidth="1"/>
    <col min="42" max="42" width="30" customWidth="1"/>
    <col min="43" max="43" width="14.1640625" style="32" customWidth="1"/>
    <col min="44" max="44" width="16.5" style="32" bestFit="1" customWidth="1"/>
    <col min="45" max="45" width="17" style="32" bestFit="1" customWidth="1"/>
    <col min="46" max="46" width="12.5" style="32" bestFit="1" customWidth="1"/>
    <col min="47" max="47" width="10" style="32" bestFit="1" customWidth="1"/>
    <col min="48" max="48" width="8" style="32" bestFit="1" customWidth="1"/>
    <col min="49" max="49" width="16.5" style="32" bestFit="1" customWidth="1"/>
    <col min="50" max="50" width="17" style="32" bestFit="1" customWidth="1"/>
    <col min="51" max="51" width="12.5" style="32" bestFit="1" customWidth="1"/>
    <col min="52" max="52" width="10.6640625" style="32" customWidth="1"/>
    <col min="53" max="53" width="8" style="32" bestFit="1" customWidth="1"/>
    <col min="54" max="54" width="16.5" style="32" bestFit="1" customWidth="1"/>
    <col min="55" max="55" width="17" style="32" bestFit="1" customWidth="1"/>
    <col min="56" max="56" width="12.5" style="32" bestFit="1" customWidth="1"/>
    <col min="57" max="57" width="10" style="32" bestFit="1" customWidth="1"/>
    <col min="58" max="58" width="8" style="32" bestFit="1" customWidth="1"/>
    <col min="59" max="59" width="16.5" style="32" bestFit="1" customWidth="1"/>
    <col min="60" max="60" width="17" style="32" bestFit="1" customWidth="1"/>
    <col min="61" max="61" width="12.5" style="32" bestFit="1" customWidth="1"/>
    <col min="62" max="62" width="10" style="32" bestFit="1" customWidth="1"/>
    <col min="63" max="63" width="8" style="32" bestFit="1" customWidth="1"/>
  </cols>
  <sheetData>
    <row r="1" spans="2:88" ht="19" hidden="1" outlineLevel="1">
      <c r="B1" s="452" t="s">
        <v>231</v>
      </c>
      <c r="C1" s="452"/>
      <c r="D1" s="64" t="s">
        <v>232</v>
      </c>
      <c r="E1" s="65" t="s">
        <v>233</v>
      </c>
      <c r="F1" s="196" t="s">
        <v>127</v>
      </c>
      <c r="G1" s="445" t="s">
        <v>234</v>
      </c>
      <c r="H1" s="446"/>
      <c r="I1" s="64" t="s">
        <v>232</v>
      </c>
      <c r="J1" s="65" t="s">
        <v>233</v>
      </c>
      <c r="K1" s="196" t="s">
        <v>127</v>
      </c>
      <c r="L1" s="445" t="s">
        <v>234</v>
      </c>
      <c r="M1" s="446"/>
      <c r="N1" s="64" t="s">
        <v>232</v>
      </c>
      <c r="O1" s="65" t="s">
        <v>233</v>
      </c>
      <c r="P1" s="196" t="s">
        <v>127</v>
      </c>
      <c r="Q1" s="445" t="s">
        <v>234</v>
      </c>
      <c r="R1" s="446"/>
      <c r="S1" s="272"/>
      <c r="T1" s="272"/>
      <c r="U1" s="272"/>
      <c r="V1" s="272"/>
      <c r="W1" s="272"/>
      <c r="X1" s="211" t="s">
        <v>232</v>
      </c>
      <c r="Y1" s="65" t="s">
        <v>233</v>
      </c>
      <c r="Z1" s="196" t="s">
        <v>127</v>
      </c>
      <c r="AA1" s="445" t="s">
        <v>234</v>
      </c>
      <c r="AB1" s="446"/>
      <c r="AC1" s="64" t="s">
        <v>232</v>
      </c>
      <c r="AD1" s="65" t="s">
        <v>233</v>
      </c>
      <c r="AE1" s="196" t="s">
        <v>127</v>
      </c>
      <c r="AF1" s="445" t="s">
        <v>234</v>
      </c>
      <c r="AG1" s="446"/>
      <c r="AH1" s="64" t="s">
        <v>232</v>
      </c>
      <c r="AI1" s="65" t="s">
        <v>233</v>
      </c>
      <c r="AJ1" s="196" t="s">
        <v>127</v>
      </c>
      <c r="AK1" s="445" t="s">
        <v>234</v>
      </c>
      <c r="AL1" s="446"/>
      <c r="AM1" s="64" t="s">
        <v>232</v>
      </c>
      <c r="AN1" s="65" t="s">
        <v>233</v>
      </c>
      <c r="AO1" s="196" t="s">
        <v>127</v>
      </c>
      <c r="AP1" s="445" t="s">
        <v>234</v>
      </c>
      <c r="AQ1" s="446"/>
      <c r="AR1" s="64" t="s">
        <v>232</v>
      </c>
      <c r="AS1" s="65" t="s">
        <v>233</v>
      </c>
      <c r="AT1" s="196" t="s">
        <v>127</v>
      </c>
      <c r="AU1" s="445" t="s">
        <v>234</v>
      </c>
      <c r="AV1" s="446"/>
      <c r="AW1" s="64" t="s">
        <v>232</v>
      </c>
      <c r="AX1" s="65" t="s">
        <v>233</v>
      </c>
      <c r="AY1" s="196" t="s">
        <v>127</v>
      </c>
      <c r="AZ1" s="445" t="s">
        <v>234</v>
      </c>
      <c r="BA1" s="446"/>
      <c r="BB1" s="64" t="s">
        <v>232</v>
      </c>
      <c r="BC1" s="65" t="s">
        <v>233</v>
      </c>
      <c r="BD1" s="196" t="s">
        <v>127</v>
      </c>
      <c r="BE1" s="445" t="s">
        <v>234</v>
      </c>
      <c r="BF1" s="446"/>
      <c r="BG1" s="64" t="s">
        <v>232</v>
      </c>
      <c r="BH1" s="65" t="s">
        <v>233</v>
      </c>
      <c r="BI1" s="196" t="s">
        <v>127</v>
      </c>
      <c r="BJ1" s="445" t="s">
        <v>234</v>
      </c>
      <c r="BK1" s="446"/>
      <c r="BL1" s="64" t="s">
        <v>232</v>
      </c>
      <c r="BM1" s="65" t="s">
        <v>233</v>
      </c>
      <c r="BN1" s="196" t="s">
        <v>127</v>
      </c>
      <c r="BO1" s="445" t="s">
        <v>234</v>
      </c>
      <c r="BP1" s="446"/>
      <c r="BQ1" s="64" t="s">
        <v>232</v>
      </c>
      <c r="BR1" s="65" t="s">
        <v>233</v>
      </c>
      <c r="BS1" s="196" t="s">
        <v>127</v>
      </c>
      <c r="BT1" s="445" t="s">
        <v>234</v>
      </c>
      <c r="BU1" s="446"/>
    </row>
    <row r="2" spans="2:88" ht="19" hidden="1" outlineLevel="1">
      <c r="B2" s="453"/>
      <c r="C2" s="453"/>
      <c r="D2" s="32" t="s">
        <v>235</v>
      </c>
      <c r="E2" s="33" t="s">
        <v>236</v>
      </c>
      <c r="F2" s="58"/>
      <c r="G2" s="445"/>
      <c r="H2" s="446"/>
      <c r="I2" s="32" t="s">
        <v>235</v>
      </c>
      <c r="J2" s="33" t="s">
        <v>236</v>
      </c>
      <c r="K2" s="58"/>
      <c r="L2" s="445"/>
      <c r="M2" s="446"/>
      <c r="N2" s="32" t="s">
        <v>235</v>
      </c>
      <c r="O2" s="33" t="s">
        <v>236</v>
      </c>
      <c r="P2" s="58"/>
      <c r="Q2" s="445"/>
      <c r="R2" s="446"/>
      <c r="S2" s="272"/>
      <c r="T2" s="272"/>
      <c r="U2" s="272"/>
      <c r="V2" s="272"/>
      <c r="W2" s="272"/>
      <c r="X2" s="212" t="s">
        <v>235</v>
      </c>
      <c r="Y2" s="33" t="s">
        <v>236</v>
      </c>
      <c r="Z2" s="58"/>
      <c r="AA2" s="445"/>
      <c r="AB2" s="446"/>
      <c r="AC2" s="32" t="s">
        <v>235</v>
      </c>
      <c r="AD2" s="33" t="s">
        <v>236</v>
      </c>
      <c r="AE2" s="58"/>
      <c r="AF2" s="445"/>
      <c r="AG2" s="446"/>
      <c r="AH2" s="32" t="s">
        <v>235</v>
      </c>
      <c r="AI2" s="33" t="s">
        <v>236</v>
      </c>
      <c r="AJ2" s="58"/>
      <c r="AK2" s="445"/>
      <c r="AL2" s="446"/>
      <c r="AM2" s="32" t="s">
        <v>235</v>
      </c>
      <c r="AN2" s="33" t="s">
        <v>236</v>
      </c>
      <c r="AO2" s="58"/>
      <c r="AP2" s="445"/>
      <c r="AQ2" s="446"/>
      <c r="AR2" s="32" t="s">
        <v>235</v>
      </c>
      <c r="AS2" s="33" t="s">
        <v>236</v>
      </c>
      <c r="AT2" s="58"/>
      <c r="AU2" s="445"/>
      <c r="AV2" s="446"/>
      <c r="AW2" s="32" t="s">
        <v>235</v>
      </c>
      <c r="AX2" s="33" t="s">
        <v>236</v>
      </c>
      <c r="AY2" s="58"/>
      <c r="AZ2" s="445"/>
      <c r="BA2" s="446"/>
      <c r="BB2" s="32" t="s">
        <v>235</v>
      </c>
      <c r="BC2" s="33" t="s">
        <v>236</v>
      </c>
      <c r="BD2" s="58"/>
      <c r="BE2" s="445"/>
      <c r="BF2" s="446"/>
      <c r="BG2" s="32" t="s">
        <v>235</v>
      </c>
      <c r="BH2" s="33" t="s">
        <v>236</v>
      </c>
      <c r="BI2" s="58"/>
      <c r="BJ2" s="445"/>
      <c r="BK2" s="446"/>
      <c r="BL2" s="32" t="s">
        <v>235</v>
      </c>
      <c r="BM2" s="33" t="s">
        <v>236</v>
      </c>
      <c r="BN2" s="58"/>
      <c r="BO2" s="445"/>
      <c r="BP2" s="446"/>
      <c r="BQ2" s="32" t="s">
        <v>235</v>
      </c>
      <c r="BR2" s="33" t="s">
        <v>236</v>
      </c>
      <c r="BS2" s="58"/>
      <c r="BT2" s="445"/>
      <c r="BU2" s="446"/>
    </row>
    <row r="3" spans="2:88" ht="19" hidden="1" outlineLevel="1">
      <c r="B3" s="453"/>
      <c r="C3" s="453"/>
      <c r="D3" s="32" t="s">
        <v>237</v>
      </c>
      <c r="E3" s="33" t="s">
        <v>238</v>
      </c>
      <c r="F3" s="16"/>
      <c r="G3" s="445"/>
      <c r="H3" s="446"/>
      <c r="I3" s="32" t="s">
        <v>237</v>
      </c>
      <c r="J3" s="33" t="s">
        <v>238</v>
      </c>
      <c r="K3" s="16"/>
      <c r="L3" s="445"/>
      <c r="M3" s="446"/>
      <c r="N3" s="32" t="s">
        <v>237</v>
      </c>
      <c r="O3" s="33" t="s">
        <v>238</v>
      </c>
      <c r="P3" s="16"/>
      <c r="Q3" s="445"/>
      <c r="R3" s="446"/>
      <c r="S3" s="272"/>
      <c r="T3" s="272"/>
      <c r="U3" s="272"/>
      <c r="V3" s="272"/>
      <c r="W3" s="272"/>
      <c r="X3" s="212" t="s">
        <v>237</v>
      </c>
      <c r="Y3" s="33" t="s">
        <v>238</v>
      </c>
      <c r="Z3" s="16"/>
      <c r="AA3" s="445"/>
      <c r="AB3" s="446"/>
      <c r="AC3" s="32" t="s">
        <v>237</v>
      </c>
      <c r="AD3" s="33" t="s">
        <v>238</v>
      </c>
      <c r="AE3" s="16"/>
      <c r="AF3" s="445"/>
      <c r="AG3" s="446"/>
      <c r="AH3" s="32" t="s">
        <v>237</v>
      </c>
      <c r="AI3" s="33" t="s">
        <v>238</v>
      </c>
      <c r="AJ3" s="16"/>
      <c r="AK3" s="445"/>
      <c r="AL3" s="446"/>
      <c r="AM3" s="32" t="s">
        <v>237</v>
      </c>
      <c r="AN3" s="33" t="s">
        <v>238</v>
      </c>
      <c r="AO3" s="16"/>
      <c r="AP3" s="445"/>
      <c r="AQ3" s="446"/>
      <c r="AR3" s="32" t="s">
        <v>237</v>
      </c>
      <c r="AS3" s="33" t="s">
        <v>238</v>
      </c>
      <c r="AT3" s="16"/>
      <c r="AU3" s="445"/>
      <c r="AV3" s="446"/>
      <c r="AW3" s="32" t="s">
        <v>237</v>
      </c>
      <c r="AX3" s="33" t="s">
        <v>238</v>
      </c>
      <c r="AY3" s="16"/>
      <c r="AZ3" s="445"/>
      <c r="BA3" s="446"/>
      <c r="BB3" s="32" t="s">
        <v>237</v>
      </c>
      <c r="BC3" s="33" t="s">
        <v>238</v>
      </c>
      <c r="BD3" s="16"/>
      <c r="BE3" s="445"/>
      <c r="BF3" s="446"/>
      <c r="BG3" s="32" t="s">
        <v>237</v>
      </c>
      <c r="BH3" s="33" t="s">
        <v>238</v>
      </c>
      <c r="BI3" s="16"/>
      <c r="BJ3" s="445"/>
      <c r="BK3" s="446"/>
      <c r="BL3" s="32" t="s">
        <v>237</v>
      </c>
      <c r="BM3" s="33" t="s">
        <v>238</v>
      </c>
      <c r="BN3" s="16"/>
      <c r="BO3" s="445"/>
      <c r="BP3" s="446"/>
      <c r="BQ3" s="32" t="s">
        <v>237</v>
      </c>
      <c r="BR3" s="33" t="s">
        <v>238</v>
      </c>
      <c r="BS3" s="16"/>
      <c r="BT3" s="445"/>
      <c r="BU3" s="446"/>
    </row>
    <row r="4" spans="2:88" ht="51" hidden="1" outlineLevel="1">
      <c r="B4" s="453"/>
      <c r="C4" s="453"/>
      <c r="D4" s="32" t="s">
        <v>239</v>
      </c>
      <c r="E4" s="33" t="s">
        <v>240</v>
      </c>
      <c r="F4" s="16"/>
      <c r="G4" s="445"/>
      <c r="H4" s="446"/>
      <c r="I4" s="32" t="s">
        <v>239</v>
      </c>
      <c r="J4" s="33" t="s">
        <v>240</v>
      </c>
      <c r="K4" s="16"/>
      <c r="L4" s="445"/>
      <c r="M4" s="446"/>
      <c r="N4" s="32" t="s">
        <v>239</v>
      </c>
      <c r="O4" s="33" t="s">
        <v>240</v>
      </c>
      <c r="P4" s="16"/>
      <c r="Q4" s="445"/>
      <c r="R4" s="446"/>
      <c r="S4" s="272"/>
      <c r="T4" s="272"/>
      <c r="U4" s="272"/>
      <c r="V4" s="272"/>
      <c r="W4" s="272"/>
      <c r="X4" s="212" t="s">
        <v>239</v>
      </c>
      <c r="Y4" s="33" t="s">
        <v>240</v>
      </c>
      <c r="Z4" s="16"/>
      <c r="AA4" s="445"/>
      <c r="AB4" s="446"/>
      <c r="AC4" s="32" t="s">
        <v>239</v>
      </c>
      <c r="AD4" s="33" t="s">
        <v>240</v>
      </c>
      <c r="AE4" s="16"/>
      <c r="AF4" s="445"/>
      <c r="AG4" s="446"/>
      <c r="AH4" s="32" t="s">
        <v>239</v>
      </c>
      <c r="AI4" s="33" t="s">
        <v>240</v>
      </c>
      <c r="AJ4" s="16"/>
      <c r="AK4" s="445"/>
      <c r="AL4" s="446"/>
      <c r="AM4" s="32" t="s">
        <v>239</v>
      </c>
      <c r="AN4" s="33" t="s">
        <v>240</v>
      </c>
      <c r="AO4" s="16"/>
      <c r="AP4" s="445"/>
      <c r="AQ4" s="446"/>
      <c r="AR4" s="32" t="s">
        <v>239</v>
      </c>
      <c r="AS4" s="33" t="s">
        <v>240</v>
      </c>
      <c r="AT4" s="16"/>
      <c r="AU4" s="445"/>
      <c r="AV4" s="446"/>
      <c r="AW4" s="32" t="s">
        <v>239</v>
      </c>
      <c r="AX4" s="33" t="s">
        <v>240</v>
      </c>
      <c r="AY4" s="16"/>
      <c r="AZ4" s="445"/>
      <c r="BA4" s="446"/>
      <c r="BB4" s="32" t="s">
        <v>239</v>
      </c>
      <c r="BC4" s="33" t="s">
        <v>240</v>
      </c>
      <c r="BD4" s="16"/>
      <c r="BE4" s="445"/>
      <c r="BF4" s="446"/>
      <c r="BG4" s="32" t="s">
        <v>239</v>
      </c>
      <c r="BH4" s="33" t="s">
        <v>240</v>
      </c>
      <c r="BI4" s="16"/>
      <c r="BJ4" s="445"/>
      <c r="BK4" s="446"/>
      <c r="BL4" s="32" t="s">
        <v>239</v>
      </c>
      <c r="BM4" s="33" t="s">
        <v>240</v>
      </c>
      <c r="BN4" s="16"/>
      <c r="BO4" s="445"/>
      <c r="BP4" s="446"/>
      <c r="BQ4" s="32" t="s">
        <v>239</v>
      </c>
      <c r="BR4" s="33" t="s">
        <v>240</v>
      </c>
      <c r="BS4" s="16"/>
      <c r="BT4" s="445"/>
      <c r="BU4" s="446"/>
    </row>
    <row r="5" spans="2:88" ht="34" hidden="1" outlineLevel="1">
      <c r="B5" s="453"/>
      <c r="C5" s="453"/>
      <c r="D5" s="32" t="s">
        <v>241</v>
      </c>
      <c r="E5" s="33" t="s">
        <v>242</v>
      </c>
      <c r="F5" s="16"/>
      <c r="G5" s="445"/>
      <c r="H5" s="446"/>
      <c r="I5" s="32" t="s">
        <v>241</v>
      </c>
      <c r="J5" s="33" t="s">
        <v>242</v>
      </c>
      <c r="K5" s="16"/>
      <c r="L5" s="445"/>
      <c r="M5" s="446"/>
      <c r="N5" s="32" t="s">
        <v>241</v>
      </c>
      <c r="O5" s="33" t="s">
        <v>242</v>
      </c>
      <c r="P5" s="16"/>
      <c r="Q5" s="445"/>
      <c r="R5" s="446"/>
      <c r="S5" s="272"/>
      <c r="T5" s="272"/>
      <c r="U5" s="272"/>
      <c r="V5" s="272"/>
      <c r="W5" s="272"/>
      <c r="X5" s="212" t="s">
        <v>241</v>
      </c>
      <c r="Y5" s="33" t="s">
        <v>242</v>
      </c>
      <c r="Z5" s="16"/>
      <c r="AA5" s="445"/>
      <c r="AB5" s="446"/>
      <c r="AC5" s="32" t="s">
        <v>241</v>
      </c>
      <c r="AD5" s="33" t="s">
        <v>242</v>
      </c>
      <c r="AE5" s="16"/>
      <c r="AF5" s="445"/>
      <c r="AG5" s="446"/>
      <c r="AH5" s="32" t="s">
        <v>241</v>
      </c>
      <c r="AI5" s="33" t="s">
        <v>242</v>
      </c>
      <c r="AJ5" s="16"/>
      <c r="AK5" s="445"/>
      <c r="AL5" s="446"/>
      <c r="AM5" s="32" t="s">
        <v>241</v>
      </c>
      <c r="AN5" s="33" t="s">
        <v>242</v>
      </c>
      <c r="AO5" s="16"/>
      <c r="AP5" s="445"/>
      <c r="AQ5" s="446"/>
      <c r="AR5" s="32" t="s">
        <v>241</v>
      </c>
      <c r="AS5" s="33" t="s">
        <v>242</v>
      </c>
      <c r="AT5" s="16"/>
      <c r="AU5" s="445"/>
      <c r="AV5" s="446"/>
      <c r="AW5" s="32" t="s">
        <v>241</v>
      </c>
      <c r="AX5" s="33" t="s">
        <v>242</v>
      </c>
      <c r="AY5" s="16"/>
      <c r="AZ5" s="445"/>
      <c r="BA5" s="446"/>
      <c r="BB5" s="32" t="s">
        <v>241</v>
      </c>
      <c r="BC5" s="33" t="s">
        <v>242</v>
      </c>
      <c r="BD5" s="16"/>
      <c r="BE5" s="445"/>
      <c r="BF5" s="446"/>
      <c r="BG5" s="32" t="s">
        <v>241</v>
      </c>
      <c r="BH5" s="33" t="s">
        <v>242</v>
      </c>
      <c r="BI5" s="16"/>
      <c r="BJ5" s="445"/>
      <c r="BK5" s="446"/>
      <c r="BL5" s="32" t="s">
        <v>241</v>
      </c>
      <c r="BM5" s="33" t="s">
        <v>242</v>
      </c>
      <c r="BN5" s="16"/>
      <c r="BO5" s="445"/>
      <c r="BP5" s="446"/>
      <c r="BQ5" s="32" t="s">
        <v>241</v>
      </c>
      <c r="BR5" s="33" t="s">
        <v>242</v>
      </c>
      <c r="BS5" s="16"/>
      <c r="BT5" s="445"/>
      <c r="BU5" s="446"/>
    </row>
    <row r="6" spans="2:88" ht="34" hidden="1" outlineLevel="1">
      <c r="B6" s="453"/>
      <c r="C6" s="453"/>
      <c r="D6" s="32" t="s">
        <v>243</v>
      </c>
      <c r="E6" s="33" t="s">
        <v>244</v>
      </c>
      <c r="F6" s="16"/>
      <c r="G6" s="445"/>
      <c r="H6" s="446"/>
      <c r="I6" s="32" t="s">
        <v>243</v>
      </c>
      <c r="J6" s="33" t="s">
        <v>244</v>
      </c>
      <c r="K6" s="16"/>
      <c r="L6" s="445"/>
      <c r="M6" s="446"/>
      <c r="N6" s="32" t="s">
        <v>243</v>
      </c>
      <c r="O6" s="33" t="s">
        <v>244</v>
      </c>
      <c r="P6" s="16"/>
      <c r="Q6" s="445"/>
      <c r="R6" s="446"/>
      <c r="S6" s="272"/>
      <c r="T6" s="272"/>
      <c r="U6" s="272"/>
      <c r="V6" s="272"/>
      <c r="W6" s="272"/>
      <c r="X6" s="212" t="s">
        <v>243</v>
      </c>
      <c r="Y6" s="33" t="s">
        <v>244</v>
      </c>
      <c r="Z6" s="16"/>
      <c r="AA6" s="445"/>
      <c r="AB6" s="446"/>
      <c r="AC6" s="32" t="s">
        <v>243</v>
      </c>
      <c r="AD6" s="33" t="s">
        <v>244</v>
      </c>
      <c r="AE6" s="16"/>
      <c r="AF6" s="445"/>
      <c r="AG6" s="446"/>
      <c r="AH6" s="32" t="s">
        <v>243</v>
      </c>
      <c r="AI6" s="33" t="s">
        <v>244</v>
      </c>
      <c r="AJ6" s="16"/>
      <c r="AK6" s="445"/>
      <c r="AL6" s="446"/>
      <c r="AM6" s="32" t="s">
        <v>243</v>
      </c>
      <c r="AN6" s="33" t="s">
        <v>244</v>
      </c>
      <c r="AO6" s="16"/>
      <c r="AP6" s="445"/>
      <c r="AQ6" s="446"/>
      <c r="AR6" s="32" t="s">
        <v>243</v>
      </c>
      <c r="AS6" s="33" t="s">
        <v>244</v>
      </c>
      <c r="AT6" s="16"/>
      <c r="AU6" s="445"/>
      <c r="AV6" s="446"/>
      <c r="AW6" s="32" t="s">
        <v>243</v>
      </c>
      <c r="AX6" s="33" t="s">
        <v>244</v>
      </c>
      <c r="AY6" s="16"/>
      <c r="AZ6" s="445"/>
      <c r="BA6" s="446"/>
      <c r="BB6" s="32" t="s">
        <v>243</v>
      </c>
      <c r="BC6" s="33" t="s">
        <v>244</v>
      </c>
      <c r="BD6" s="16"/>
      <c r="BE6" s="445"/>
      <c r="BF6" s="446"/>
      <c r="BG6" s="32" t="s">
        <v>243</v>
      </c>
      <c r="BH6" s="33" t="s">
        <v>244</v>
      </c>
      <c r="BI6" s="16"/>
      <c r="BJ6" s="445"/>
      <c r="BK6" s="446"/>
      <c r="BL6" s="32" t="s">
        <v>243</v>
      </c>
      <c r="BM6" s="33" t="s">
        <v>244</v>
      </c>
      <c r="BN6" s="16"/>
      <c r="BO6" s="445"/>
      <c r="BP6" s="446"/>
      <c r="BQ6" s="32" t="s">
        <v>243</v>
      </c>
      <c r="BR6" s="33" t="s">
        <v>244</v>
      </c>
      <c r="BS6" s="16"/>
      <c r="BT6" s="445"/>
      <c r="BU6" s="446"/>
    </row>
    <row r="7" spans="2:88" ht="34" hidden="1" outlineLevel="1">
      <c r="B7" s="453"/>
      <c r="C7" s="453"/>
      <c r="D7" s="32" t="s">
        <v>162</v>
      </c>
      <c r="E7" s="33" t="s">
        <v>245</v>
      </c>
      <c r="F7" s="16"/>
      <c r="G7" s="445"/>
      <c r="H7" s="446"/>
      <c r="I7" s="32" t="s">
        <v>162</v>
      </c>
      <c r="J7" s="33" t="s">
        <v>245</v>
      </c>
      <c r="K7" s="16"/>
      <c r="L7" s="445"/>
      <c r="M7" s="446"/>
      <c r="N7" s="32" t="s">
        <v>162</v>
      </c>
      <c r="O7" s="33" t="s">
        <v>245</v>
      </c>
      <c r="P7" s="16"/>
      <c r="Q7" s="445"/>
      <c r="R7" s="446"/>
      <c r="S7" s="272"/>
      <c r="T7" s="272"/>
      <c r="U7" s="272"/>
      <c r="V7" s="272"/>
      <c r="W7" s="272"/>
      <c r="X7" s="212" t="s">
        <v>162</v>
      </c>
      <c r="Y7" s="33" t="s">
        <v>245</v>
      </c>
      <c r="Z7" s="16"/>
      <c r="AA7" s="445"/>
      <c r="AB7" s="446"/>
      <c r="AC7" s="32" t="s">
        <v>162</v>
      </c>
      <c r="AD7" s="33" t="s">
        <v>245</v>
      </c>
      <c r="AE7" s="16"/>
      <c r="AF7" s="445"/>
      <c r="AG7" s="446"/>
      <c r="AH7" s="32" t="s">
        <v>162</v>
      </c>
      <c r="AI7" s="33" t="s">
        <v>245</v>
      </c>
      <c r="AJ7" s="16"/>
      <c r="AK7" s="445"/>
      <c r="AL7" s="446"/>
      <c r="AM7" s="32" t="s">
        <v>162</v>
      </c>
      <c r="AN7" s="33" t="s">
        <v>245</v>
      </c>
      <c r="AO7" s="16"/>
      <c r="AP7" s="445"/>
      <c r="AQ7" s="446"/>
      <c r="AR7" s="32" t="s">
        <v>162</v>
      </c>
      <c r="AS7" s="33" t="s">
        <v>245</v>
      </c>
      <c r="AT7" s="16"/>
      <c r="AU7" s="445"/>
      <c r="AV7" s="446"/>
      <c r="AW7" s="32" t="s">
        <v>162</v>
      </c>
      <c r="AX7" s="33" t="s">
        <v>245</v>
      </c>
      <c r="AY7" s="16"/>
      <c r="AZ7" s="445"/>
      <c r="BA7" s="446"/>
      <c r="BB7" s="32" t="s">
        <v>162</v>
      </c>
      <c r="BC7" s="33" t="s">
        <v>245</v>
      </c>
      <c r="BD7" s="16"/>
      <c r="BE7" s="445"/>
      <c r="BF7" s="446"/>
      <c r="BG7" s="32" t="s">
        <v>162</v>
      </c>
      <c r="BH7" s="33" t="s">
        <v>245</v>
      </c>
      <c r="BI7" s="16"/>
      <c r="BJ7" s="445"/>
      <c r="BK7" s="446"/>
      <c r="BL7" s="32" t="s">
        <v>162</v>
      </c>
      <c r="BM7" s="33" t="s">
        <v>245</v>
      </c>
      <c r="BN7" s="16"/>
      <c r="BO7" s="445"/>
      <c r="BP7" s="446"/>
      <c r="BQ7" s="32" t="s">
        <v>162</v>
      </c>
      <c r="BR7" s="33" t="s">
        <v>245</v>
      </c>
      <c r="BS7" s="16"/>
      <c r="BT7" s="445"/>
      <c r="BU7" s="446"/>
    </row>
    <row r="8" spans="2:88" ht="34" hidden="1" outlineLevel="1">
      <c r="B8" s="454"/>
      <c r="C8" s="454"/>
      <c r="D8" s="32" t="s">
        <v>246</v>
      </c>
      <c r="E8" s="33" t="s">
        <v>247</v>
      </c>
      <c r="F8" s="16"/>
      <c r="G8" s="445"/>
      <c r="H8" s="446"/>
      <c r="I8" s="32" t="s">
        <v>246</v>
      </c>
      <c r="J8" s="33" t="s">
        <v>247</v>
      </c>
      <c r="K8" s="16"/>
      <c r="L8" s="445"/>
      <c r="M8" s="446"/>
      <c r="N8" s="32" t="s">
        <v>246</v>
      </c>
      <c r="O8" s="33" t="s">
        <v>247</v>
      </c>
      <c r="P8" s="16"/>
      <c r="Q8" s="445"/>
      <c r="R8" s="446"/>
      <c r="S8" s="272"/>
      <c r="T8" s="272"/>
      <c r="U8" s="272"/>
      <c r="V8" s="272"/>
      <c r="W8" s="272"/>
      <c r="X8" s="212" t="s">
        <v>246</v>
      </c>
      <c r="Y8" s="33" t="s">
        <v>247</v>
      </c>
      <c r="Z8" s="16"/>
      <c r="AA8" s="445"/>
      <c r="AB8" s="446"/>
      <c r="AC8" s="32" t="s">
        <v>246</v>
      </c>
      <c r="AD8" s="33" t="s">
        <v>247</v>
      </c>
      <c r="AE8" s="16"/>
      <c r="AF8" s="445"/>
      <c r="AG8" s="446"/>
      <c r="AH8" s="32" t="s">
        <v>246</v>
      </c>
      <c r="AI8" s="33" t="s">
        <v>247</v>
      </c>
      <c r="AJ8" s="16"/>
      <c r="AK8" s="445"/>
      <c r="AL8" s="446"/>
      <c r="AM8" s="32" t="s">
        <v>246</v>
      </c>
      <c r="AN8" s="33" t="s">
        <v>247</v>
      </c>
      <c r="AO8" s="16"/>
      <c r="AP8" s="445"/>
      <c r="AQ8" s="446"/>
      <c r="AR8" s="32" t="s">
        <v>246</v>
      </c>
      <c r="AS8" s="33" t="s">
        <v>247</v>
      </c>
      <c r="AT8" s="16"/>
      <c r="AU8" s="445"/>
      <c r="AV8" s="446"/>
      <c r="AW8" s="32" t="s">
        <v>246</v>
      </c>
      <c r="AX8" s="33" t="s">
        <v>247</v>
      </c>
      <c r="AY8" s="16"/>
      <c r="AZ8" s="445"/>
      <c r="BA8" s="446"/>
      <c r="BB8" s="32" t="s">
        <v>246</v>
      </c>
      <c r="BC8" s="33" t="s">
        <v>247</v>
      </c>
      <c r="BD8" s="16"/>
      <c r="BE8" s="445"/>
      <c r="BF8" s="446"/>
      <c r="BG8" s="32" t="s">
        <v>246</v>
      </c>
      <c r="BH8" s="33" t="s">
        <v>247</v>
      </c>
      <c r="BI8" s="16"/>
      <c r="BJ8" s="445"/>
      <c r="BK8" s="446"/>
      <c r="BL8" s="32" t="s">
        <v>246</v>
      </c>
      <c r="BM8" s="33" t="s">
        <v>247</v>
      </c>
      <c r="BN8" s="16"/>
      <c r="BO8" s="445"/>
      <c r="BP8" s="446"/>
      <c r="BQ8" s="32" t="s">
        <v>246</v>
      </c>
      <c r="BR8" s="33" t="s">
        <v>247</v>
      </c>
      <c r="BS8" s="16"/>
      <c r="BT8" s="445"/>
      <c r="BU8" s="446"/>
    </row>
    <row r="9" spans="2:88" ht="34" hidden="1" outlineLevel="1">
      <c r="D9" s="66" t="s">
        <v>248</v>
      </c>
      <c r="E9" s="66" t="s">
        <v>224</v>
      </c>
      <c r="F9" s="21"/>
      <c r="G9" s="447"/>
      <c r="H9" s="448"/>
      <c r="I9" s="66" t="s">
        <v>248</v>
      </c>
      <c r="J9" s="66" t="s">
        <v>224</v>
      </c>
      <c r="K9" s="21"/>
      <c r="L9" s="447"/>
      <c r="M9" s="448"/>
      <c r="N9" s="66" t="s">
        <v>248</v>
      </c>
      <c r="O9" s="66" t="s">
        <v>224</v>
      </c>
      <c r="P9" s="21"/>
      <c r="Q9" s="447"/>
      <c r="R9" s="448"/>
      <c r="S9" s="272"/>
      <c r="T9" s="272"/>
      <c r="U9" s="272"/>
      <c r="V9" s="272"/>
      <c r="W9" s="272"/>
      <c r="X9" s="213" t="s">
        <v>248</v>
      </c>
      <c r="Y9" s="66" t="s">
        <v>224</v>
      </c>
      <c r="Z9" s="21"/>
      <c r="AA9" s="447"/>
      <c r="AB9" s="448"/>
      <c r="AC9" s="66" t="s">
        <v>248</v>
      </c>
      <c r="AD9" s="66" t="s">
        <v>224</v>
      </c>
      <c r="AE9" s="21"/>
      <c r="AF9" s="447"/>
      <c r="AG9" s="448"/>
      <c r="AH9" s="66" t="s">
        <v>248</v>
      </c>
      <c r="AI9" s="66" t="s">
        <v>224</v>
      </c>
      <c r="AJ9" s="21"/>
      <c r="AK9" s="447"/>
      <c r="AL9" s="448"/>
      <c r="AM9" s="66" t="s">
        <v>248</v>
      </c>
      <c r="AN9" s="66" t="s">
        <v>224</v>
      </c>
      <c r="AO9" s="21"/>
      <c r="AP9" s="447"/>
      <c r="AQ9" s="448"/>
      <c r="AR9" s="66" t="s">
        <v>248</v>
      </c>
      <c r="AS9" s="66" t="s">
        <v>224</v>
      </c>
      <c r="AT9" s="21"/>
      <c r="AU9" s="447"/>
      <c r="AV9" s="448"/>
      <c r="AW9" s="66" t="s">
        <v>248</v>
      </c>
      <c r="AX9" s="66" t="s">
        <v>224</v>
      </c>
      <c r="AY9" s="21"/>
      <c r="AZ9" s="447"/>
      <c r="BA9" s="448"/>
      <c r="BB9" s="66" t="s">
        <v>248</v>
      </c>
      <c r="BC9" s="66" t="s">
        <v>224</v>
      </c>
      <c r="BD9" s="21"/>
      <c r="BE9" s="447"/>
      <c r="BF9" s="448"/>
      <c r="BG9" s="66" t="s">
        <v>248</v>
      </c>
      <c r="BH9" s="66" t="s">
        <v>224</v>
      </c>
      <c r="BI9" s="21"/>
      <c r="BJ9" s="447"/>
      <c r="BK9" s="448"/>
      <c r="BL9" s="66" t="s">
        <v>248</v>
      </c>
      <c r="BM9" s="66" t="s">
        <v>224</v>
      </c>
      <c r="BN9" s="21"/>
      <c r="BO9" s="447"/>
      <c r="BP9" s="448"/>
      <c r="BQ9" s="66" t="s">
        <v>248</v>
      </c>
      <c r="BR9" s="66" t="s">
        <v>224</v>
      </c>
      <c r="BS9" s="21"/>
      <c r="BT9" s="447"/>
      <c r="BU9" s="448"/>
    </row>
    <row r="10" spans="2:88" ht="16" collapsed="1">
      <c r="B10" s="457"/>
      <c r="C10" s="458"/>
      <c r="D10" s="443"/>
      <c r="E10" s="443"/>
      <c r="F10" s="443"/>
      <c r="G10" s="443"/>
      <c r="H10" s="444"/>
      <c r="I10" s="443"/>
      <c r="J10" s="443"/>
      <c r="K10" s="443"/>
      <c r="L10" s="443"/>
      <c r="M10" s="444"/>
      <c r="N10" s="443"/>
      <c r="O10" s="443"/>
      <c r="P10" s="443"/>
      <c r="Q10" s="443"/>
      <c r="R10" s="444"/>
      <c r="S10" s="309"/>
      <c r="T10" s="309"/>
      <c r="U10" s="309"/>
      <c r="V10" s="309"/>
      <c r="W10" s="309"/>
      <c r="X10" s="443"/>
      <c r="Y10" s="443"/>
      <c r="Z10" s="443"/>
      <c r="AA10" s="443"/>
      <c r="AB10" s="444"/>
      <c r="AC10" s="443"/>
      <c r="AD10" s="443"/>
      <c r="AE10" s="443"/>
      <c r="AF10" s="443"/>
      <c r="AG10" s="444"/>
      <c r="AH10" s="443"/>
      <c r="AI10" s="443"/>
      <c r="AJ10" s="443"/>
      <c r="AK10" s="443"/>
      <c r="AL10" s="444"/>
      <c r="AM10" s="443"/>
      <c r="AN10" s="443"/>
      <c r="AO10" s="443"/>
      <c r="AP10" s="443"/>
      <c r="AQ10" s="444"/>
      <c r="AR10" s="443"/>
      <c r="AS10" s="443"/>
      <c r="AT10" s="443"/>
      <c r="AU10" s="443"/>
      <c r="AV10" s="444"/>
      <c r="AW10" s="443"/>
      <c r="AX10" s="443"/>
      <c r="AY10" s="443"/>
      <c r="AZ10" s="443"/>
      <c r="BA10" s="444"/>
      <c r="BB10" s="443"/>
      <c r="BC10" s="443"/>
      <c r="BD10" s="443"/>
      <c r="BE10" s="443"/>
      <c r="BF10" s="444"/>
      <c r="BG10" s="443"/>
      <c r="BH10" s="443"/>
      <c r="BI10" s="443"/>
      <c r="BJ10" s="443"/>
      <c r="BK10" s="444"/>
      <c r="BL10" s="443"/>
      <c r="BM10" s="443"/>
      <c r="BN10" s="443"/>
      <c r="BO10" s="443"/>
      <c r="BP10" s="444"/>
      <c r="BQ10" s="443"/>
      <c r="BR10" s="443"/>
      <c r="BS10" s="443"/>
      <c r="BT10" s="443"/>
      <c r="BU10" s="444"/>
    </row>
    <row r="11" spans="2:88" ht="26">
      <c r="B11" s="455" t="s">
        <v>249</v>
      </c>
      <c r="C11" s="456"/>
      <c r="D11" s="449" t="str">
        <f>Instructions!B8</f>
        <v>Bryte Activation</v>
      </c>
      <c r="E11" s="450"/>
      <c r="F11" s="450"/>
      <c r="G11" s="450"/>
      <c r="H11" s="451"/>
      <c r="I11" s="449" t="str">
        <f>Instructions!B9</f>
        <v>Intent Classifier And Entity Recognition</v>
      </c>
      <c r="J11" s="450"/>
      <c r="K11" s="450"/>
      <c r="L11" s="450"/>
      <c r="M11" s="451"/>
      <c r="N11" s="449" t="str">
        <f>Instructions!B10</f>
        <v>Adversarial Check</v>
      </c>
      <c r="O11" s="450"/>
      <c r="P11" s="450"/>
      <c r="Q11" s="450"/>
      <c r="R11" s="451"/>
      <c r="S11" s="449" t="str">
        <f>Instructions!B11</f>
        <v xml:space="preserve">Intent Training Metrics </v>
      </c>
      <c r="T11" s="450"/>
      <c r="U11" s="450"/>
      <c r="V11" s="450"/>
      <c r="W11" s="451"/>
      <c r="X11" s="449" t="str">
        <f>Instructions!B12</f>
        <v>Skills</v>
      </c>
      <c r="Y11" s="450"/>
      <c r="Z11" s="450"/>
      <c r="AA11" s="450"/>
      <c r="AB11" s="451"/>
      <c r="AC11" s="449" t="str">
        <f>Instructions!B13</f>
        <v>DSAAS</v>
      </c>
      <c r="AD11" s="450"/>
      <c r="AE11" s="450"/>
      <c r="AF11" s="450"/>
      <c r="AG11" s="451"/>
      <c r="AH11" s="449" t="str">
        <f>Instructions!B14</f>
        <v>RAG</v>
      </c>
      <c r="AI11" s="450"/>
      <c r="AJ11" s="450"/>
      <c r="AK11" s="450"/>
      <c r="AL11" s="451"/>
      <c r="AM11" s="449" t="str">
        <f>Instructions!B15</f>
        <v>Agent Framework</v>
      </c>
      <c r="AN11" s="450"/>
      <c r="AO11" s="450"/>
      <c r="AP11" s="450"/>
      <c r="AQ11" s="451"/>
      <c r="AR11" s="449" t="str">
        <f>Instructions!B16</f>
        <v>URIKA</v>
      </c>
      <c r="AS11" s="450"/>
      <c r="AT11" s="450"/>
      <c r="AU11" s="450"/>
      <c r="AV11" s="451"/>
      <c r="AW11" s="449" t="str">
        <f>Instructions!B17</f>
        <v>Mission Control</v>
      </c>
      <c r="AX11" s="450"/>
      <c r="AY11" s="450"/>
      <c r="AZ11" s="450"/>
      <c r="BA11" s="451"/>
      <c r="BB11" s="449" t="str">
        <f>Instructions!B18</f>
        <v>UKG GPT</v>
      </c>
      <c r="BC11" s="450"/>
      <c r="BD11" s="450"/>
      <c r="BE11" s="450"/>
      <c r="BF11" s="451"/>
      <c r="BG11" s="449" t="str">
        <f>Instructions!B19</f>
        <v>GPTW/DEIB</v>
      </c>
      <c r="BH11" s="450"/>
      <c r="BI11" s="450"/>
      <c r="BJ11" s="450"/>
      <c r="BK11" s="451"/>
      <c r="BL11" s="449" t="str">
        <f>Instructions!B20</f>
        <v>Tech Platform</v>
      </c>
      <c r="BM11" s="450"/>
      <c r="BN11" s="450"/>
      <c r="BO11" s="450"/>
      <c r="BP11" s="451"/>
      <c r="BQ11" s="449" t="str">
        <f>Instructions!B21</f>
        <v>PGE</v>
      </c>
      <c r="BR11" s="450"/>
      <c r="BS11" s="450"/>
      <c r="BT11" s="450"/>
      <c r="BU11" s="451"/>
      <c r="BV11" s="449" t="str">
        <f>Instructions!B22</f>
        <v>OneWebMFE</v>
      </c>
      <c r="BW11" s="450"/>
      <c r="BX11" s="450"/>
      <c r="BY11" s="450"/>
      <c r="BZ11" s="451"/>
      <c r="CA11" s="449" t="str">
        <f>Instructions!B23</f>
        <v>Bryte Assist</v>
      </c>
      <c r="CB11" s="450"/>
      <c r="CC11" s="450"/>
      <c r="CD11" s="450"/>
      <c r="CE11" s="451"/>
      <c r="CF11" s="449" t="str">
        <f>Instructions!B24</f>
        <v>OneWeb Services</v>
      </c>
      <c r="CG11" s="450"/>
      <c r="CH11" s="450"/>
      <c r="CI11" s="450"/>
      <c r="CJ11" s="451"/>
    </row>
    <row r="12" spans="2:88" ht="68">
      <c r="B12" s="31" t="s">
        <v>4</v>
      </c>
      <c r="C12" s="28" t="s">
        <v>6</v>
      </c>
      <c r="D12" s="151" t="s">
        <v>215</v>
      </c>
      <c r="E12" s="61" t="s">
        <v>250</v>
      </c>
      <c r="F12" s="61" t="s">
        <v>251</v>
      </c>
      <c r="G12" s="67" t="s">
        <v>252</v>
      </c>
      <c r="H12" s="183" t="s">
        <v>253</v>
      </c>
      <c r="I12" s="151" t="s">
        <v>215</v>
      </c>
      <c r="J12" s="61" t="s">
        <v>250</v>
      </c>
      <c r="K12" s="61" t="s">
        <v>251</v>
      </c>
      <c r="L12" s="67"/>
      <c r="M12" s="183" t="s">
        <v>253</v>
      </c>
      <c r="N12" s="151" t="s">
        <v>215</v>
      </c>
      <c r="O12" s="61" t="s">
        <v>250</v>
      </c>
      <c r="P12" s="61" t="s">
        <v>251</v>
      </c>
      <c r="Q12" s="67" t="s">
        <v>254</v>
      </c>
      <c r="R12" s="183" t="s">
        <v>253</v>
      </c>
      <c r="S12" s="151" t="s">
        <v>215</v>
      </c>
      <c r="T12" s="61" t="s">
        <v>250</v>
      </c>
      <c r="U12" s="61" t="s">
        <v>251</v>
      </c>
      <c r="V12" s="67" t="s">
        <v>254</v>
      </c>
      <c r="W12" s="183" t="s">
        <v>253</v>
      </c>
      <c r="X12" s="151" t="s">
        <v>215</v>
      </c>
      <c r="Y12" s="61" t="s">
        <v>250</v>
      </c>
      <c r="Z12" s="61" t="s">
        <v>251</v>
      </c>
      <c r="AA12" s="67" t="s">
        <v>254</v>
      </c>
      <c r="AB12" s="183" t="s">
        <v>253</v>
      </c>
      <c r="AC12" s="151" t="s">
        <v>215</v>
      </c>
      <c r="AD12" s="61" t="s">
        <v>250</v>
      </c>
      <c r="AE12" s="61" t="s">
        <v>251</v>
      </c>
      <c r="AF12" s="67" t="s">
        <v>254</v>
      </c>
      <c r="AG12" s="183" t="s">
        <v>253</v>
      </c>
      <c r="AH12" s="151" t="s">
        <v>215</v>
      </c>
      <c r="AI12" s="61" t="s">
        <v>250</v>
      </c>
      <c r="AJ12" s="61" t="s">
        <v>251</v>
      </c>
      <c r="AK12" s="295" t="s">
        <v>254</v>
      </c>
      <c r="AL12" s="183" t="s">
        <v>253</v>
      </c>
      <c r="AM12" s="151" t="s">
        <v>215</v>
      </c>
      <c r="AN12" s="61" t="s">
        <v>250</v>
      </c>
      <c r="AO12" s="61" t="s">
        <v>251</v>
      </c>
      <c r="AP12" s="295" t="s">
        <v>254</v>
      </c>
      <c r="AQ12" s="183" t="s">
        <v>253</v>
      </c>
      <c r="AR12" s="151" t="s">
        <v>215</v>
      </c>
      <c r="AS12" s="61" t="s">
        <v>250</v>
      </c>
      <c r="AT12" s="61" t="s">
        <v>251</v>
      </c>
      <c r="AU12" s="67" t="s">
        <v>255</v>
      </c>
      <c r="AV12" s="183">
        <v>0</v>
      </c>
      <c r="AW12" s="151" t="s">
        <v>215</v>
      </c>
      <c r="AX12" s="61" t="s">
        <v>250</v>
      </c>
      <c r="AY12" s="61" t="s">
        <v>251</v>
      </c>
      <c r="AZ12" s="67" t="s">
        <v>254</v>
      </c>
      <c r="BA12" s="183" t="s">
        <v>253</v>
      </c>
      <c r="BB12" s="151" t="s">
        <v>215</v>
      </c>
      <c r="BC12" s="61" t="s">
        <v>250</v>
      </c>
      <c r="BD12" s="61" t="s">
        <v>251</v>
      </c>
      <c r="BE12" s="67" t="s">
        <v>254</v>
      </c>
      <c r="BF12" s="183" t="s">
        <v>253</v>
      </c>
      <c r="BG12" s="151" t="s">
        <v>215</v>
      </c>
      <c r="BH12" s="61" t="s">
        <v>250</v>
      </c>
      <c r="BI12" s="61" t="s">
        <v>251</v>
      </c>
      <c r="BJ12" s="67" t="s">
        <v>254</v>
      </c>
      <c r="BK12" s="183" t="s">
        <v>253</v>
      </c>
      <c r="BL12" s="151" t="s">
        <v>215</v>
      </c>
      <c r="BM12" s="61" t="s">
        <v>250</v>
      </c>
      <c r="BN12" s="61" t="s">
        <v>251</v>
      </c>
      <c r="BO12" s="67" t="s">
        <v>254</v>
      </c>
      <c r="BP12" s="183" t="s">
        <v>253</v>
      </c>
      <c r="BQ12" s="151" t="s">
        <v>215</v>
      </c>
      <c r="BR12" s="61" t="s">
        <v>250</v>
      </c>
      <c r="BS12" s="61" t="s">
        <v>251</v>
      </c>
      <c r="BT12" s="67" t="s">
        <v>254</v>
      </c>
      <c r="BU12" s="183" t="s">
        <v>253</v>
      </c>
      <c r="BV12" s="151" t="s">
        <v>215</v>
      </c>
      <c r="BW12" s="61" t="s">
        <v>250</v>
      </c>
      <c r="BX12" s="61" t="s">
        <v>251</v>
      </c>
      <c r="BY12" s="67" t="s">
        <v>254</v>
      </c>
      <c r="BZ12" s="183" t="s">
        <v>253</v>
      </c>
      <c r="CA12" s="151" t="s">
        <v>215</v>
      </c>
      <c r="CB12" s="61" t="s">
        <v>250</v>
      </c>
      <c r="CC12" s="61" t="s">
        <v>251</v>
      </c>
      <c r="CD12" s="67" t="s">
        <v>254</v>
      </c>
      <c r="CE12" s="183" t="s">
        <v>253</v>
      </c>
      <c r="CF12" s="151" t="s">
        <v>215</v>
      </c>
      <c r="CG12" s="61" t="s">
        <v>250</v>
      </c>
      <c r="CH12" s="61" t="s">
        <v>251</v>
      </c>
      <c r="CI12" s="67" t="s">
        <v>254</v>
      </c>
      <c r="CJ12" s="183" t="s">
        <v>253</v>
      </c>
    </row>
    <row r="13" spans="2:88" s="281" customFormat="1" ht="16.5" customHeight="1">
      <c r="B13" s="273" t="s">
        <v>8</v>
      </c>
      <c r="C13" s="274" t="s">
        <v>10</v>
      </c>
      <c r="D13" s="275" t="s">
        <v>189</v>
      </c>
      <c r="E13" s="276" t="s">
        <v>189</v>
      </c>
      <c r="F13" s="277" t="s">
        <v>187</v>
      </c>
      <c r="G13" s="278" t="s">
        <v>256</v>
      </c>
      <c r="H13" s="279"/>
      <c r="I13" s="321" t="s">
        <v>187</v>
      </c>
      <c r="J13" s="322" t="s">
        <v>187</v>
      </c>
      <c r="K13" s="316" t="s">
        <v>189</v>
      </c>
      <c r="L13" s="278" t="s">
        <v>257</v>
      </c>
      <c r="M13" s="317" t="s">
        <v>258</v>
      </c>
      <c r="N13" s="275" t="s">
        <v>189</v>
      </c>
      <c r="O13" s="276"/>
      <c r="P13" s="280"/>
      <c r="Q13" s="278" t="s">
        <v>259</v>
      </c>
      <c r="R13" s="437" t="s">
        <v>260</v>
      </c>
      <c r="S13" s="275" t="s">
        <v>187</v>
      </c>
      <c r="T13" s="276" t="s">
        <v>187</v>
      </c>
      <c r="U13" s="316" t="s">
        <v>189</v>
      </c>
      <c r="V13" s="317" t="s">
        <v>261</v>
      </c>
      <c r="W13" s="437" t="s">
        <v>262</v>
      </c>
      <c r="X13" s="275" t="s">
        <v>189</v>
      </c>
      <c r="Y13" s="276" t="s">
        <v>212</v>
      </c>
      <c r="Z13" s="277" t="s">
        <v>212</v>
      </c>
      <c r="AA13" s="278"/>
      <c r="AB13" s="279"/>
      <c r="AC13" s="275" t="s">
        <v>189</v>
      </c>
      <c r="AD13" s="276" t="s">
        <v>189</v>
      </c>
      <c r="AE13" s="276" t="s">
        <v>189</v>
      </c>
      <c r="AF13" s="278"/>
      <c r="AG13" s="279"/>
      <c r="AH13" s="275" t="s">
        <v>189</v>
      </c>
      <c r="AI13" s="276" t="s">
        <v>189</v>
      </c>
      <c r="AJ13" s="277"/>
      <c r="AK13" s="296" t="s">
        <v>263</v>
      </c>
      <c r="AL13" s="279"/>
      <c r="AM13" s="275" t="s">
        <v>189</v>
      </c>
      <c r="AN13" s="276" t="s">
        <v>189</v>
      </c>
      <c r="AO13" s="277"/>
      <c r="AP13" s="296" t="s">
        <v>263</v>
      </c>
      <c r="AQ13" s="279"/>
      <c r="AR13" s="275" t="s">
        <v>187</v>
      </c>
      <c r="AS13" s="276" t="s">
        <v>187</v>
      </c>
      <c r="AT13" s="277" t="s">
        <v>189</v>
      </c>
      <c r="AU13" s="278"/>
      <c r="AV13" s="279"/>
      <c r="AW13" s="275" t="s">
        <v>187</v>
      </c>
      <c r="AX13" s="275" t="s">
        <v>187</v>
      </c>
      <c r="AY13" s="59" t="s">
        <v>187</v>
      </c>
      <c r="AZ13" s="278"/>
      <c r="BA13" s="279"/>
      <c r="BB13" s="275" t="s">
        <v>187</v>
      </c>
      <c r="BC13" s="276" t="s">
        <v>187</v>
      </c>
      <c r="BD13" s="277" t="s">
        <v>189</v>
      </c>
      <c r="BE13" s="278"/>
      <c r="BF13" s="279"/>
      <c r="BG13" s="275" t="s">
        <v>211</v>
      </c>
      <c r="BH13" s="276"/>
      <c r="BI13" s="277"/>
      <c r="BJ13" s="278"/>
      <c r="BK13" s="279"/>
      <c r="BL13" s="275" t="s">
        <v>187</v>
      </c>
      <c r="BM13" s="276" t="s">
        <v>189</v>
      </c>
      <c r="BN13" s="277"/>
      <c r="BO13" s="278"/>
      <c r="BP13" s="279"/>
      <c r="BQ13" s="275" t="s">
        <v>211</v>
      </c>
      <c r="BR13" s="276"/>
      <c r="BS13" s="277"/>
      <c r="BT13" s="278"/>
      <c r="BU13" s="279"/>
      <c r="BV13" s="185" t="s">
        <v>212</v>
      </c>
      <c r="BW13" s="185" t="s">
        <v>212</v>
      </c>
      <c r="BX13" s="185" t="s">
        <v>212</v>
      </c>
      <c r="BY13" s="278" t="s">
        <v>264</v>
      </c>
      <c r="BZ13" s="282"/>
      <c r="CA13" s="275" t="s">
        <v>189</v>
      </c>
      <c r="CB13" s="276" t="s">
        <v>189</v>
      </c>
      <c r="CC13" s="276" t="s">
        <v>189</v>
      </c>
      <c r="CD13" s="278" t="s">
        <v>265</v>
      </c>
      <c r="CE13" s="282"/>
      <c r="CF13" s="275" t="s">
        <v>211</v>
      </c>
      <c r="CG13" s="185" t="s">
        <v>189</v>
      </c>
      <c r="CH13" s="185" t="s">
        <v>189</v>
      </c>
      <c r="CI13" s="278"/>
      <c r="CJ13" s="465" t="s">
        <v>266</v>
      </c>
    </row>
    <row r="14" spans="2:88" ht="20.25" customHeight="1">
      <c r="B14" s="35" t="s">
        <v>8</v>
      </c>
      <c r="C14" s="35" t="s">
        <v>12</v>
      </c>
      <c r="D14" s="185" t="s">
        <v>212</v>
      </c>
      <c r="E14" s="186" t="s">
        <v>189</v>
      </c>
      <c r="F14" s="59" t="s">
        <v>189</v>
      </c>
      <c r="G14" s="187" t="s">
        <v>267</v>
      </c>
      <c r="H14" s="188"/>
      <c r="I14" s="323" t="s">
        <v>187</v>
      </c>
      <c r="J14" s="324" t="s">
        <v>187</v>
      </c>
      <c r="K14" s="186" t="s">
        <v>189</v>
      </c>
      <c r="L14" s="187" t="s">
        <v>268</v>
      </c>
      <c r="M14" s="317" t="s">
        <v>269</v>
      </c>
      <c r="N14" s="185" t="s">
        <v>212</v>
      </c>
      <c r="O14" s="186" t="s">
        <v>189</v>
      </c>
      <c r="P14" s="59" t="s">
        <v>189</v>
      </c>
      <c r="Q14" s="187" t="s">
        <v>267</v>
      </c>
      <c r="R14" s="438"/>
      <c r="S14" s="323" t="s">
        <v>187</v>
      </c>
      <c r="T14" s="324" t="s">
        <v>187</v>
      </c>
      <c r="U14" s="59" t="s">
        <v>189</v>
      </c>
      <c r="V14" s="325" t="s">
        <v>270</v>
      </c>
      <c r="W14" s="438"/>
      <c r="X14" s="1" t="s">
        <v>187</v>
      </c>
      <c r="Y14" s="59" t="s">
        <v>189</v>
      </c>
      <c r="Z14" s="59" t="s">
        <v>213</v>
      </c>
      <c r="AA14" s="187"/>
      <c r="AB14" s="188"/>
      <c r="AC14" s="185" t="s">
        <v>189</v>
      </c>
      <c r="AD14" s="186" t="s">
        <v>189</v>
      </c>
      <c r="AE14" s="186" t="s">
        <v>189</v>
      </c>
      <c r="AF14" s="187"/>
      <c r="AG14" s="188"/>
      <c r="AH14" s="185" t="s">
        <v>212</v>
      </c>
      <c r="AI14" s="186" t="s">
        <v>189</v>
      </c>
      <c r="AJ14" s="186" t="s">
        <v>189</v>
      </c>
      <c r="AK14" s="297" t="s">
        <v>271</v>
      </c>
      <c r="AL14" s="188"/>
      <c r="AM14" s="185" t="s">
        <v>187</v>
      </c>
      <c r="AN14" s="186" t="s">
        <v>189</v>
      </c>
      <c r="AO14" s="186" t="s">
        <v>189</v>
      </c>
      <c r="AP14" s="297" t="s">
        <v>271</v>
      </c>
      <c r="AQ14" s="188"/>
      <c r="AR14" s="185" t="s">
        <v>187</v>
      </c>
      <c r="AS14" s="186" t="s">
        <v>187</v>
      </c>
      <c r="AT14" s="59" t="s">
        <v>189</v>
      </c>
      <c r="AU14" s="187"/>
      <c r="AV14" s="188"/>
      <c r="AW14" s="275" t="s">
        <v>187</v>
      </c>
      <c r="AX14" s="275" t="s">
        <v>187</v>
      </c>
      <c r="AY14" s="59" t="s">
        <v>187</v>
      </c>
      <c r="AZ14" s="187"/>
      <c r="BA14" s="188"/>
      <c r="BB14" s="185" t="s">
        <v>187</v>
      </c>
      <c r="BC14" s="186" t="s">
        <v>187</v>
      </c>
      <c r="BD14" s="59" t="s">
        <v>189</v>
      </c>
      <c r="BE14" s="187"/>
      <c r="BF14" s="188"/>
      <c r="BG14" s="185" t="s">
        <v>211</v>
      </c>
      <c r="BH14" s="186"/>
      <c r="BI14" s="59"/>
      <c r="BJ14" s="187"/>
      <c r="BK14" s="188"/>
      <c r="BL14" s="185" t="s">
        <v>187</v>
      </c>
      <c r="BM14" s="186" t="s">
        <v>189</v>
      </c>
      <c r="BN14" s="186" t="s">
        <v>189</v>
      </c>
      <c r="BO14" s="187"/>
      <c r="BP14" s="188"/>
      <c r="BQ14" s="185" t="s">
        <v>211</v>
      </c>
      <c r="BR14" s="186"/>
      <c r="BS14" s="59"/>
      <c r="BT14" s="187"/>
      <c r="BU14" s="188"/>
      <c r="BV14" s="185" t="s">
        <v>212</v>
      </c>
      <c r="BW14" s="185" t="s">
        <v>212</v>
      </c>
      <c r="BX14" s="185" t="s">
        <v>212</v>
      </c>
      <c r="BY14" s="278" t="s">
        <v>264</v>
      </c>
      <c r="BZ14" s="188"/>
      <c r="CA14" s="185" t="s">
        <v>187</v>
      </c>
      <c r="CB14" s="185" t="s">
        <v>187</v>
      </c>
      <c r="CC14" s="185" t="s">
        <v>189</v>
      </c>
      <c r="CD14" s="187" t="s">
        <v>272</v>
      </c>
      <c r="CE14" s="188"/>
      <c r="CF14" s="275" t="s">
        <v>211</v>
      </c>
      <c r="CG14" s="185" t="s">
        <v>189</v>
      </c>
      <c r="CH14" s="185" t="s">
        <v>189</v>
      </c>
      <c r="CI14" s="278"/>
      <c r="CJ14" s="466"/>
    </row>
    <row r="15" spans="2:88" ht="34">
      <c r="B15" s="35" t="s">
        <v>8</v>
      </c>
      <c r="C15" s="148" t="s">
        <v>14</v>
      </c>
      <c r="D15" s="185" t="s">
        <v>189</v>
      </c>
      <c r="E15" s="186" t="s">
        <v>189</v>
      </c>
      <c r="F15" s="59" t="s">
        <v>187</v>
      </c>
      <c r="G15" s="189" t="s">
        <v>273</v>
      </c>
      <c r="H15" s="184"/>
      <c r="I15" s="323" t="s">
        <v>187</v>
      </c>
      <c r="J15" s="324" t="s">
        <v>187</v>
      </c>
      <c r="K15" s="186" t="s">
        <v>187</v>
      </c>
      <c r="L15" s="189" t="s">
        <v>274</v>
      </c>
      <c r="M15" s="317" t="s">
        <v>275</v>
      </c>
      <c r="N15" s="185" t="s">
        <v>189</v>
      </c>
      <c r="O15" s="186" t="s">
        <v>189</v>
      </c>
      <c r="P15" s="59" t="s">
        <v>187</v>
      </c>
      <c r="Q15" s="189"/>
      <c r="R15" s="438"/>
      <c r="S15" s="323" t="s">
        <v>187</v>
      </c>
      <c r="T15" s="324" t="s">
        <v>187</v>
      </c>
      <c r="U15" s="59" t="s">
        <v>187</v>
      </c>
      <c r="V15" s="325" t="s">
        <v>276</v>
      </c>
      <c r="W15" s="438"/>
      <c r="X15" s="185" t="s">
        <v>213</v>
      </c>
      <c r="Y15" s="59" t="s">
        <v>213</v>
      </c>
      <c r="Z15" s="59" t="s">
        <v>213</v>
      </c>
      <c r="AA15" s="189"/>
      <c r="AB15" s="184"/>
      <c r="AC15" s="185" t="s">
        <v>189</v>
      </c>
      <c r="AD15" s="186" t="s">
        <v>189</v>
      </c>
      <c r="AE15" s="186" t="s">
        <v>189</v>
      </c>
      <c r="AF15" s="189"/>
      <c r="AG15" s="184"/>
      <c r="AH15" s="185" t="s">
        <v>213</v>
      </c>
      <c r="AI15" s="186" t="s">
        <v>189</v>
      </c>
      <c r="AJ15" s="186" t="s">
        <v>187</v>
      </c>
      <c r="AK15" s="297" t="s">
        <v>271</v>
      </c>
      <c r="AL15" s="184"/>
      <c r="AM15" s="185" t="s">
        <v>213</v>
      </c>
      <c r="AN15" s="186" t="s">
        <v>189</v>
      </c>
      <c r="AO15" s="186" t="s">
        <v>187</v>
      </c>
      <c r="AP15" s="297" t="s">
        <v>271</v>
      </c>
      <c r="AQ15" s="184"/>
      <c r="AR15" s="185" t="s">
        <v>212</v>
      </c>
      <c r="AS15" s="186" t="s">
        <v>212</v>
      </c>
      <c r="AT15" s="186" t="s">
        <v>212</v>
      </c>
      <c r="AU15" s="189"/>
      <c r="AV15" s="184"/>
      <c r="AW15" s="275" t="s">
        <v>187</v>
      </c>
      <c r="AX15" s="185" t="s">
        <v>212</v>
      </c>
      <c r="AY15" s="59" t="s">
        <v>187</v>
      </c>
      <c r="AZ15" s="189"/>
      <c r="BA15" s="184"/>
      <c r="BB15" s="185" t="s">
        <v>212</v>
      </c>
      <c r="BC15" s="186" t="s">
        <v>212</v>
      </c>
      <c r="BD15" s="186" t="s">
        <v>212</v>
      </c>
      <c r="BE15" s="189"/>
      <c r="BF15" s="184"/>
      <c r="BG15" s="185" t="s">
        <v>211</v>
      </c>
      <c r="BH15" s="186"/>
      <c r="BI15" s="59"/>
      <c r="BJ15" s="189"/>
      <c r="BK15" s="184"/>
      <c r="BL15" s="185" t="s">
        <v>188</v>
      </c>
      <c r="BM15" s="186" t="s">
        <v>189</v>
      </c>
      <c r="BN15" s="186" t="s">
        <v>187</v>
      </c>
      <c r="BO15" s="189"/>
      <c r="BP15" s="184"/>
      <c r="BQ15" s="185" t="s">
        <v>211</v>
      </c>
      <c r="BR15" s="186"/>
      <c r="BS15" s="59"/>
      <c r="BT15" s="189"/>
      <c r="BU15" s="184"/>
      <c r="BV15" s="185" t="s">
        <v>212</v>
      </c>
      <c r="BW15" s="185" t="s">
        <v>212</v>
      </c>
      <c r="BX15" s="185" t="s">
        <v>212</v>
      </c>
      <c r="BY15" s="278" t="s">
        <v>264</v>
      </c>
      <c r="BZ15" s="283"/>
      <c r="CA15" s="185" t="s">
        <v>187</v>
      </c>
      <c r="CB15" s="185" t="s">
        <v>187</v>
      </c>
      <c r="CC15" s="185" t="s">
        <v>189</v>
      </c>
      <c r="CD15" s="189"/>
      <c r="CE15" s="283"/>
      <c r="CF15" s="275" t="s">
        <v>211</v>
      </c>
      <c r="CG15" s="185" t="s">
        <v>189</v>
      </c>
      <c r="CH15" s="185" t="s">
        <v>189</v>
      </c>
      <c r="CI15" s="278"/>
      <c r="CJ15" s="466"/>
    </row>
    <row r="16" spans="2:88" ht="34">
      <c r="B16" s="35" t="s">
        <v>8</v>
      </c>
      <c r="C16" s="148" t="s">
        <v>16</v>
      </c>
      <c r="D16" s="185" t="s">
        <v>189</v>
      </c>
      <c r="E16" s="186" t="s">
        <v>189</v>
      </c>
      <c r="F16" s="59" t="s">
        <v>189</v>
      </c>
      <c r="G16" s="187"/>
      <c r="H16" s="184"/>
      <c r="I16" s="323" t="s">
        <v>187</v>
      </c>
      <c r="J16" s="324" t="s">
        <v>187</v>
      </c>
      <c r="K16" s="186" t="s">
        <v>189</v>
      </c>
      <c r="L16" s="189" t="s">
        <v>274</v>
      </c>
      <c r="M16" s="278" t="s">
        <v>277</v>
      </c>
      <c r="N16" s="185" t="s">
        <v>189</v>
      </c>
      <c r="O16" s="186" t="s">
        <v>189</v>
      </c>
      <c r="P16" s="59" t="s">
        <v>189</v>
      </c>
      <c r="Q16" s="189"/>
      <c r="R16" s="438"/>
      <c r="S16" s="323" t="s">
        <v>187</v>
      </c>
      <c r="T16" s="324" t="s">
        <v>187</v>
      </c>
      <c r="U16" s="59" t="s">
        <v>189</v>
      </c>
      <c r="V16" s="325" t="s">
        <v>276</v>
      </c>
      <c r="W16" s="438"/>
      <c r="X16" s="185" t="s">
        <v>213</v>
      </c>
      <c r="Y16" s="59" t="s">
        <v>213</v>
      </c>
      <c r="Z16" s="59" t="s">
        <v>213</v>
      </c>
      <c r="AA16" s="189"/>
      <c r="AB16" s="184"/>
      <c r="AC16" s="185" t="s">
        <v>189</v>
      </c>
      <c r="AD16" s="186" t="s">
        <v>189</v>
      </c>
      <c r="AE16" s="186" t="s">
        <v>189</v>
      </c>
      <c r="AF16" s="189"/>
      <c r="AG16" s="184"/>
      <c r="AH16" s="185" t="s">
        <v>189</v>
      </c>
      <c r="AI16" s="186" t="s">
        <v>189</v>
      </c>
      <c r="AJ16" s="186" t="s">
        <v>189</v>
      </c>
      <c r="AK16" s="298"/>
      <c r="AL16" s="184"/>
      <c r="AM16" s="185" t="s">
        <v>189</v>
      </c>
      <c r="AN16" s="186" t="s">
        <v>189</v>
      </c>
      <c r="AO16" s="186" t="s">
        <v>189</v>
      </c>
      <c r="AP16" s="298"/>
      <c r="AQ16" s="184"/>
      <c r="AR16" s="185" t="s">
        <v>212</v>
      </c>
      <c r="AS16" s="186" t="s">
        <v>212</v>
      </c>
      <c r="AT16" s="186" t="s">
        <v>212</v>
      </c>
      <c r="AU16" s="189"/>
      <c r="AV16" s="184"/>
      <c r="AW16" s="275" t="s">
        <v>187</v>
      </c>
      <c r="AX16" s="185" t="s">
        <v>212</v>
      </c>
      <c r="AY16" s="59" t="s">
        <v>187</v>
      </c>
      <c r="AZ16" s="189"/>
      <c r="BA16" s="184"/>
      <c r="BB16" s="185" t="s">
        <v>212</v>
      </c>
      <c r="BC16" s="186" t="s">
        <v>212</v>
      </c>
      <c r="BD16" s="186" t="s">
        <v>212</v>
      </c>
      <c r="BE16" s="189"/>
      <c r="BF16" s="184"/>
      <c r="BG16" s="185" t="s">
        <v>211</v>
      </c>
      <c r="BH16" s="186"/>
      <c r="BI16" s="59"/>
      <c r="BJ16" s="189"/>
      <c r="BK16" s="184"/>
      <c r="BL16" s="185" t="s">
        <v>188</v>
      </c>
      <c r="BM16" s="186" t="s">
        <v>189</v>
      </c>
      <c r="BN16" s="186" t="s">
        <v>189</v>
      </c>
      <c r="BO16" s="189"/>
      <c r="BP16" s="184"/>
      <c r="BQ16" s="185" t="s">
        <v>211</v>
      </c>
      <c r="BR16" s="186"/>
      <c r="BS16" s="59"/>
      <c r="BT16" s="189"/>
      <c r="BU16" s="184"/>
      <c r="BV16" s="185" t="s">
        <v>212</v>
      </c>
      <c r="BW16" s="185" t="s">
        <v>212</v>
      </c>
      <c r="BX16" s="185" t="s">
        <v>212</v>
      </c>
      <c r="BY16" s="278" t="s">
        <v>264</v>
      </c>
      <c r="BZ16" s="283"/>
      <c r="CA16" s="185" t="s">
        <v>189</v>
      </c>
      <c r="CB16" s="185" t="s">
        <v>189</v>
      </c>
      <c r="CC16" s="185" t="s">
        <v>189</v>
      </c>
      <c r="CD16" s="189"/>
      <c r="CE16" s="283"/>
      <c r="CF16" s="275" t="s">
        <v>212</v>
      </c>
      <c r="CG16" s="185" t="s">
        <v>189</v>
      </c>
      <c r="CH16" s="185" t="s">
        <v>189</v>
      </c>
      <c r="CI16" s="278"/>
      <c r="CJ16" s="466"/>
    </row>
    <row r="17" spans="2:88" ht="51">
      <c r="B17" s="35" t="s">
        <v>8</v>
      </c>
      <c r="C17" s="129" t="s">
        <v>18</v>
      </c>
      <c r="D17" s="185" t="s">
        <v>189</v>
      </c>
      <c r="E17" s="186" t="s">
        <v>189</v>
      </c>
      <c r="F17" s="59" t="s">
        <v>189</v>
      </c>
      <c r="G17" s="187" t="s">
        <v>267</v>
      </c>
      <c r="H17" s="184"/>
      <c r="I17" s="185" t="s">
        <v>212</v>
      </c>
      <c r="J17" s="186" t="s">
        <v>189</v>
      </c>
      <c r="K17" s="186" t="s">
        <v>189</v>
      </c>
      <c r="L17" s="187" t="s">
        <v>278</v>
      </c>
      <c r="M17" s="278"/>
      <c r="N17" s="185" t="s">
        <v>189</v>
      </c>
      <c r="O17" s="186" t="s">
        <v>189</v>
      </c>
      <c r="P17" s="59" t="s">
        <v>189</v>
      </c>
      <c r="Q17" s="187" t="s">
        <v>267</v>
      </c>
      <c r="R17" s="438"/>
      <c r="S17" s="185" t="s">
        <v>212</v>
      </c>
      <c r="T17" s="186" t="s">
        <v>189</v>
      </c>
      <c r="U17" s="186" t="s">
        <v>189</v>
      </c>
      <c r="V17" s="187" t="s">
        <v>278</v>
      </c>
      <c r="W17" s="438"/>
      <c r="X17" s="185" t="s">
        <v>213</v>
      </c>
      <c r="Y17" s="59" t="s">
        <v>213</v>
      </c>
      <c r="Z17" s="59" t="s">
        <v>213</v>
      </c>
      <c r="AA17" s="149"/>
      <c r="AB17" s="184"/>
      <c r="AC17" s="185" t="s">
        <v>189</v>
      </c>
      <c r="AD17" s="186" t="s">
        <v>189</v>
      </c>
      <c r="AE17" s="186" t="s">
        <v>189</v>
      </c>
      <c r="AF17" s="149"/>
      <c r="AG17" s="184"/>
      <c r="AH17" s="185" t="s">
        <v>213</v>
      </c>
      <c r="AI17" s="186" t="s">
        <v>189</v>
      </c>
      <c r="AJ17" s="186" t="s">
        <v>189</v>
      </c>
      <c r="AK17" s="297" t="s">
        <v>271</v>
      </c>
      <c r="AL17" s="184"/>
      <c r="AM17" s="185" t="s">
        <v>213</v>
      </c>
      <c r="AN17" s="186" t="s">
        <v>189</v>
      </c>
      <c r="AO17" s="186" t="s">
        <v>189</v>
      </c>
      <c r="AP17" s="297" t="s">
        <v>271</v>
      </c>
      <c r="AQ17" s="184"/>
      <c r="AR17" s="185" t="s">
        <v>187</v>
      </c>
      <c r="AS17" s="186" t="s">
        <v>187</v>
      </c>
      <c r="AT17" s="59" t="s">
        <v>189</v>
      </c>
      <c r="AU17" s="149"/>
      <c r="AV17" s="184"/>
      <c r="AW17" s="275" t="s">
        <v>187</v>
      </c>
      <c r="AX17" s="275" t="s">
        <v>187</v>
      </c>
      <c r="AY17" s="59" t="s">
        <v>189</v>
      </c>
      <c r="AZ17" s="149"/>
      <c r="BA17" s="184"/>
      <c r="BB17" s="185" t="s">
        <v>187</v>
      </c>
      <c r="BC17" s="186" t="s">
        <v>187</v>
      </c>
      <c r="BD17" s="59" t="s">
        <v>189</v>
      </c>
      <c r="BE17" s="149"/>
      <c r="BF17" s="184"/>
      <c r="BG17" s="185" t="s">
        <v>211</v>
      </c>
      <c r="BH17" s="186"/>
      <c r="BI17" s="59"/>
      <c r="BJ17" s="149"/>
      <c r="BK17" s="184"/>
      <c r="BL17" s="185" t="s">
        <v>187</v>
      </c>
      <c r="BM17" s="186" t="s">
        <v>189</v>
      </c>
      <c r="BN17" s="186" t="s">
        <v>189</v>
      </c>
      <c r="BO17" s="149"/>
      <c r="BP17" s="184"/>
      <c r="BQ17" s="185" t="s">
        <v>211</v>
      </c>
      <c r="BR17" s="186"/>
      <c r="BS17" s="59"/>
      <c r="BT17" s="149"/>
      <c r="BU17" s="184"/>
      <c r="BV17" s="185" t="s">
        <v>212</v>
      </c>
      <c r="BW17" s="185" t="s">
        <v>212</v>
      </c>
      <c r="BX17" s="185" t="s">
        <v>212</v>
      </c>
      <c r="BY17" s="278" t="s">
        <v>264</v>
      </c>
      <c r="BZ17" s="283"/>
      <c r="CA17" s="185" t="s">
        <v>189</v>
      </c>
      <c r="CB17" s="185" t="s">
        <v>189</v>
      </c>
      <c r="CC17" s="185" t="s">
        <v>189</v>
      </c>
      <c r="CD17" s="284"/>
      <c r="CE17" s="283"/>
      <c r="CF17" s="185" t="s">
        <v>189</v>
      </c>
      <c r="CG17" s="185" t="s">
        <v>189</v>
      </c>
      <c r="CH17" s="185" t="s">
        <v>189</v>
      </c>
      <c r="CI17" s="278"/>
      <c r="CJ17" s="466"/>
    </row>
    <row r="18" spans="2:88" ht="51">
      <c r="B18" s="35" t="s">
        <v>8</v>
      </c>
      <c r="C18" s="148" t="s">
        <v>20</v>
      </c>
      <c r="D18" s="185" t="s">
        <v>189</v>
      </c>
      <c r="E18" s="186" t="s">
        <v>189</v>
      </c>
      <c r="F18" s="59" t="s">
        <v>189</v>
      </c>
      <c r="G18" s="187"/>
      <c r="H18" s="184"/>
      <c r="I18" s="185" t="s">
        <v>212</v>
      </c>
      <c r="J18" s="186" t="s">
        <v>189</v>
      </c>
      <c r="K18" s="186" t="s">
        <v>189</v>
      </c>
      <c r="L18" s="187" t="s">
        <v>278</v>
      </c>
      <c r="M18" s="278"/>
      <c r="N18" s="185" t="s">
        <v>189</v>
      </c>
      <c r="O18" s="186" t="s">
        <v>189</v>
      </c>
      <c r="P18" s="59" t="s">
        <v>189</v>
      </c>
      <c r="Q18" s="187" t="s">
        <v>267</v>
      </c>
      <c r="R18" s="438"/>
      <c r="S18" s="185" t="s">
        <v>212</v>
      </c>
      <c r="T18" s="186" t="s">
        <v>189</v>
      </c>
      <c r="U18" s="186" t="s">
        <v>189</v>
      </c>
      <c r="V18" s="187" t="s">
        <v>278</v>
      </c>
      <c r="W18" s="438"/>
      <c r="X18" s="185" t="s">
        <v>213</v>
      </c>
      <c r="Y18" s="59" t="s">
        <v>213</v>
      </c>
      <c r="Z18" s="59" t="s">
        <v>213</v>
      </c>
      <c r="AA18" s="190"/>
      <c r="AB18" s="184"/>
      <c r="AC18" s="185" t="s">
        <v>189</v>
      </c>
      <c r="AD18" s="186" t="s">
        <v>189</v>
      </c>
      <c r="AE18" s="186" t="s">
        <v>189</v>
      </c>
      <c r="AF18" s="190"/>
      <c r="AG18" s="184"/>
      <c r="AH18" s="185" t="s">
        <v>213</v>
      </c>
      <c r="AI18" s="186" t="s">
        <v>189</v>
      </c>
      <c r="AJ18" s="186" t="s">
        <v>189</v>
      </c>
      <c r="AK18" s="297" t="s">
        <v>271</v>
      </c>
      <c r="AL18" s="184"/>
      <c r="AM18" s="185" t="s">
        <v>213</v>
      </c>
      <c r="AN18" s="186" t="s">
        <v>189</v>
      </c>
      <c r="AO18" s="186" t="s">
        <v>189</v>
      </c>
      <c r="AP18" s="297" t="s">
        <v>271</v>
      </c>
      <c r="AQ18" s="184"/>
      <c r="AR18" s="185" t="s">
        <v>187</v>
      </c>
      <c r="AS18" s="186" t="s">
        <v>187</v>
      </c>
      <c r="AT18" s="59" t="s">
        <v>189</v>
      </c>
      <c r="AU18" s="190"/>
      <c r="AV18" s="184"/>
      <c r="AW18" s="275" t="s">
        <v>187</v>
      </c>
      <c r="AX18" s="275" t="s">
        <v>187</v>
      </c>
      <c r="AY18" s="59" t="s">
        <v>187</v>
      </c>
      <c r="AZ18" s="190"/>
      <c r="BA18" s="184"/>
      <c r="BB18" s="185" t="s">
        <v>187</v>
      </c>
      <c r="BC18" s="186" t="s">
        <v>187</v>
      </c>
      <c r="BD18" s="59" t="s">
        <v>189</v>
      </c>
      <c r="BE18" s="190"/>
      <c r="BF18" s="184"/>
      <c r="BG18" s="185" t="s">
        <v>211</v>
      </c>
      <c r="BH18" s="186"/>
      <c r="BI18" s="59"/>
      <c r="BJ18" s="190"/>
      <c r="BK18" s="184"/>
      <c r="BL18" s="185" t="s">
        <v>187</v>
      </c>
      <c r="BM18" s="186" t="s">
        <v>189</v>
      </c>
      <c r="BN18" s="186" t="s">
        <v>189</v>
      </c>
      <c r="BO18" s="190"/>
      <c r="BP18" s="184"/>
      <c r="BQ18" s="185" t="s">
        <v>211</v>
      </c>
      <c r="BR18" s="186"/>
      <c r="BS18" s="59"/>
      <c r="BT18" s="190"/>
      <c r="BU18" s="184"/>
      <c r="BV18" s="185" t="s">
        <v>212</v>
      </c>
      <c r="BW18" s="185" t="s">
        <v>212</v>
      </c>
      <c r="BX18" s="185" t="s">
        <v>212</v>
      </c>
      <c r="BY18" s="278" t="s">
        <v>264</v>
      </c>
      <c r="BZ18" s="283"/>
      <c r="CA18" s="185" t="s">
        <v>189</v>
      </c>
      <c r="CB18" s="185" t="s">
        <v>189</v>
      </c>
      <c r="CC18" s="185" t="s">
        <v>189</v>
      </c>
      <c r="CD18" s="285"/>
      <c r="CE18" s="283"/>
      <c r="CF18" s="185" t="s">
        <v>187</v>
      </c>
      <c r="CG18" s="185" t="s">
        <v>189</v>
      </c>
      <c r="CH18" s="185" t="s">
        <v>189</v>
      </c>
      <c r="CI18" s="283" t="s">
        <v>279</v>
      </c>
      <c r="CJ18" s="466"/>
    </row>
    <row r="19" spans="2:88" ht="51">
      <c r="B19" s="35" t="s">
        <v>22</v>
      </c>
      <c r="C19" s="150" t="s">
        <v>24</v>
      </c>
      <c r="D19" s="185" t="s">
        <v>187</v>
      </c>
      <c r="E19" s="185" t="s">
        <v>212</v>
      </c>
      <c r="F19" s="185" t="s">
        <v>212</v>
      </c>
      <c r="G19" s="149" t="s">
        <v>280</v>
      </c>
      <c r="H19" s="188"/>
      <c r="I19" s="185" t="s">
        <v>187</v>
      </c>
      <c r="J19" s="185" t="s">
        <v>187</v>
      </c>
      <c r="K19" s="186" t="s">
        <v>187</v>
      </c>
      <c r="L19" s="318" t="s">
        <v>281</v>
      </c>
      <c r="M19" s="278"/>
      <c r="N19" s="185" t="s">
        <v>187</v>
      </c>
      <c r="O19" s="185" t="s">
        <v>187</v>
      </c>
      <c r="P19" s="185" t="s">
        <v>187</v>
      </c>
      <c r="Q19" s="149"/>
      <c r="R19" s="438"/>
      <c r="S19" s="185" t="s">
        <v>187</v>
      </c>
      <c r="T19" s="185" t="s">
        <v>187</v>
      </c>
      <c r="U19" s="185" t="s">
        <v>187</v>
      </c>
      <c r="V19" s="326" t="s">
        <v>282</v>
      </c>
      <c r="W19" s="438"/>
      <c r="X19" s="185" t="s">
        <v>187</v>
      </c>
      <c r="Y19" s="186" t="s">
        <v>187</v>
      </c>
      <c r="Z19" s="185" t="s">
        <v>187</v>
      </c>
      <c r="AA19" s="149"/>
      <c r="AB19" s="188"/>
      <c r="AC19" s="185" t="s">
        <v>187</v>
      </c>
      <c r="AD19" s="186" t="s">
        <v>187</v>
      </c>
      <c r="AE19" s="186" t="s">
        <v>189</v>
      </c>
      <c r="AF19" s="149"/>
      <c r="AG19" s="188"/>
      <c r="AH19" s="185" t="s">
        <v>187</v>
      </c>
      <c r="AI19" s="185" t="s">
        <v>187</v>
      </c>
      <c r="AJ19" s="185" t="s">
        <v>187</v>
      </c>
      <c r="AK19" s="299"/>
      <c r="AL19" s="188"/>
      <c r="AM19" s="185" t="s">
        <v>187</v>
      </c>
      <c r="AN19" s="185" t="s">
        <v>187</v>
      </c>
      <c r="AO19" s="186" t="s">
        <v>187</v>
      </c>
      <c r="AP19" s="299"/>
      <c r="AQ19" s="188"/>
      <c r="AR19" s="185" t="s">
        <v>187</v>
      </c>
      <c r="AS19" s="186" t="s">
        <v>187</v>
      </c>
      <c r="AT19" s="59" t="s">
        <v>189</v>
      </c>
      <c r="AU19" s="149"/>
      <c r="AV19" s="188"/>
      <c r="AW19" s="185" t="s">
        <v>212</v>
      </c>
      <c r="AX19" s="185" t="s">
        <v>212</v>
      </c>
      <c r="AY19" s="185" t="s">
        <v>212</v>
      </c>
      <c r="AZ19" s="284" t="s">
        <v>283</v>
      </c>
      <c r="BA19" s="188"/>
      <c r="BB19" s="185" t="s">
        <v>187</v>
      </c>
      <c r="BC19" s="186" t="s">
        <v>187</v>
      </c>
      <c r="BD19" s="59" t="s">
        <v>189</v>
      </c>
      <c r="BE19" s="149"/>
      <c r="BF19" s="188"/>
      <c r="BG19" s="185" t="s">
        <v>187</v>
      </c>
      <c r="BH19" s="185"/>
      <c r="BI19" s="185"/>
      <c r="BJ19" s="149"/>
      <c r="BK19" s="188"/>
      <c r="BL19" s="185" t="s">
        <v>187</v>
      </c>
      <c r="BM19" s="185" t="s">
        <v>187</v>
      </c>
      <c r="BN19" s="186" t="s">
        <v>187</v>
      </c>
      <c r="BO19" s="149"/>
      <c r="BP19" s="188"/>
      <c r="BQ19" s="185" t="s">
        <v>211</v>
      </c>
      <c r="BR19" s="185"/>
      <c r="BS19" s="185"/>
      <c r="BT19" s="149"/>
      <c r="BU19" s="188"/>
      <c r="BV19" s="185" t="s">
        <v>212</v>
      </c>
      <c r="BW19" s="185" t="s">
        <v>212</v>
      </c>
      <c r="BX19" s="185" t="s">
        <v>212</v>
      </c>
      <c r="BY19" s="278" t="s">
        <v>264</v>
      </c>
      <c r="BZ19" s="188"/>
      <c r="CA19" s="185" t="s">
        <v>212</v>
      </c>
      <c r="CB19" s="185" t="s">
        <v>212</v>
      </c>
      <c r="CC19" s="185" t="s">
        <v>212</v>
      </c>
      <c r="CD19" s="284" t="s">
        <v>284</v>
      </c>
      <c r="CE19" s="188"/>
      <c r="CF19" s="185" t="s">
        <v>214</v>
      </c>
      <c r="CG19" s="185" t="s">
        <v>212</v>
      </c>
      <c r="CH19" s="185" t="s">
        <v>212</v>
      </c>
      <c r="CI19" s="278" t="s">
        <v>284</v>
      </c>
      <c r="CJ19" s="466"/>
    </row>
    <row r="20" spans="2:88" ht="238">
      <c r="B20" s="35" t="s">
        <v>22</v>
      </c>
      <c r="C20" s="150" t="s">
        <v>26</v>
      </c>
      <c r="D20" s="185" t="s">
        <v>212</v>
      </c>
      <c r="E20" s="185" t="s">
        <v>212</v>
      </c>
      <c r="F20" s="185" t="s">
        <v>212</v>
      </c>
      <c r="G20" s="149" t="s">
        <v>280</v>
      </c>
      <c r="H20" s="188"/>
      <c r="I20" s="185" t="s">
        <v>187</v>
      </c>
      <c r="J20" s="185" t="s">
        <v>187</v>
      </c>
      <c r="K20" s="186" t="s">
        <v>187</v>
      </c>
      <c r="L20" s="318" t="s">
        <v>285</v>
      </c>
      <c r="M20" s="278"/>
      <c r="N20" s="185" t="s">
        <v>187</v>
      </c>
      <c r="O20" s="185" t="s">
        <v>187</v>
      </c>
      <c r="P20" s="185" t="s">
        <v>187</v>
      </c>
      <c r="Q20" s="149"/>
      <c r="R20" s="438"/>
      <c r="S20" s="185" t="s">
        <v>187</v>
      </c>
      <c r="T20" s="185" t="s">
        <v>187</v>
      </c>
      <c r="U20" s="185" t="s">
        <v>187</v>
      </c>
      <c r="V20" s="327" t="s">
        <v>286</v>
      </c>
      <c r="W20" s="438"/>
      <c r="X20" s="185" t="s">
        <v>187</v>
      </c>
      <c r="Y20" s="186" t="s">
        <v>187</v>
      </c>
      <c r="Z20" s="185" t="s">
        <v>187</v>
      </c>
      <c r="AA20" s="149"/>
      <c r="AB20" s="188"/>
      <c r="AC20" s="185" t="s">
        <v>187</v>
      </c>
      <c r="AD20" s="186" t="s">
        <v>187</v>
      </c>
      <c r="AE20" s="186" t="s">
        <v>189</v>
      </c>
      <c r="AF20" s="149"/>
      <c r="AG20" s="188"/>
      <c r="AH20" s="185" t="s">
        <v>187</v>
      </c>
      <c r="AI20" s="185" t="s">
        <v>187</v>
      </c>
      <c r="AJ20" s="185" t="s">
        <v>187</v>
      </c>
      <c r="AK20" s="299"/>
      <c r="AL20" s="188"/>
      <c r="AM20" s="185" t="s">
        <v>187</v>
      </c>
      <c r="AN20" s="185" t="s">
        <v>187</v>
      </c>
      <c r="AO20" s="186" t="s">
        <v>187</v>
      </c>
      <c r="AP20" s="299"/>
      <c r="AQ20" s="188"/>
      <c r="AR20" s="185" t="s">
        <v>187</v>
      </c>
      <c r="AS20" s="186" t="s">
        <v>187</v>
      </c>
      <c r="AT20" s="59" t="s">
        <v>189</v>
      </c>
      <c r="AU20" s="149"/>
      <c r="AV20" s="188"/>
      <c r="AW20" s="185" t="s">
        <v>212</v>
      </c>
      <c r="AX20" s="185" t="s">
        <v>212</v>
      </c>
      <c r="AY20" s="185" t="s">
        <v>212</v>
      </c>
      <c r="AZ20" s="284" t="s">
        <v>283</v>
      </c>
      <c r="BA20" s="188"/>
      <c r="BB20" s="185" t="s">
        <v>187</v>
      </c>
      <c r="BC20" s="186" t="s">
        <v>187</v>
      </c>
      <c r="BD20" s="59" t="s">
        <v>189</v>
      </c>
      <c r="BE20" s="149"/>
      <c r="BF20" s="188"/>
      <c r="BG20" s="185" t="s">
        <v>187</v>
      </c>
      <c r="BH20" s="185"/>
      <c r="BI20" s="185"/>
      <c r="BJ20" s="149"/>
      <c r="BK20" s="188"/>
      <c r="BL20" s="185" t="s">
        <v>187</v>
      </c>
      <c r="BM20" s="185" t="s">
        <v>187</v>
      </c>
      <c r="BN20" s="186" t="s">
        <v>187</v>
      </c>
      <c r="BO20" s="149"/>
      <c r="BP20" s="188"/>
      <c r="BQ20" s="185" t="s">
        <v>211</v>
      </c>
      <c r="BR20" s="185"/>
      <c r="BS20" s="185"/>
      <c r="BT20" s="149"/>
      <c r="BU20" s="188"/>
      <c r="BV20" s="185" t="s">
        <v>212</v>
      </c>
      <c r="BW20" s="185" t="s">
        <v>212</v>
      </c>
      <c r="BX20" s="185" t="s">
        <v>212</v>
      </c>
      <c r="BY20" s="278" t="s">
        <v>264</v>
      </c>
      <c r="BZ20" s="188"/>
      <c r="CA20" s="185" t="s">
        <v>212</v>
      </c>
      <c r="CB20" s="185" t="s">
        <v>212</v>
      </c>
      <c r="CC20" s="185" t="s">
        <v>212</v>
      </c>
      <c r="CD20" s="284" t="s">
        <v>284</v>
      </c>
      <c r="CE20" s="188"/>
      <c r="CF20" s="185" t="s">
        <v>212</v>
      </c>
      <c r="CG20" s="185" t="s">
        <v>212</v>
      </c>
      <c r="CH20" s="185" t="s">
        <v>212</v>
      </c>
      <c r="CI20" s="278" t="s">
        <v>284</v>
      </c>
      <c r="CJ20" s="466"/>
    </row>
    <row r="21" spans="2:88" ht="34">
      <c r="B21" s="35" t="s">
        <v>22</v>
      </c>
      <c r="C21" s="150" t="s">
        <v>28</v>
      </c>
      <c r="D21" s="185" t="s">
        <v>212</v>
      </c>
      <c r="E21" s="185" t="s">
        <v>212</v>
      </c>
      <c r="F21" s="185" t="s">
        <v>212</v>
      </c>
      <c r="G21" s="149" t="s">
        <v>287</v>
      </c>
      <c r="H21" s="191"/>
      <c r="I21" s="323" t="s">
        <v>187</v>
      </c>
      <c r="J21" s="323" t="s">
        <v>187</v>
      </c>
      <c r="K21" s="186" t="s">
        <v>189</v>
      </c>
      <c r="L21" s="149" t="s">
        <v>288</v>
      </c>
      <c r="M21" s="317" t="s">
        <v>289</v>
      </c>
      <c r="N21" s="185" t="s">
        <v>187</v>
      </c>
      <c r="O21" s="185" t="s">
        <v>187</v>
      </c>
      <c r="P21" s="185" t="s">
        <v>187</v>
      </c>
      <c r="Q21" s="149"/>
      <c r="R21" s="438"/>
      <c r="S21" s="185" t="s">
        <v>187</v>
      </c>
      <c r="T21" s="185" t="s">
        <v>187</v>
      </c>
      <c r="U21" s="185" t="s">
        <v>187</v>
      </c>
      <c r="V21" s="149"/>
      <c r="W21" s="438"/>
      <c r="X21" s="185" t="s">
        <v>187</v>
      </c>
      <c r="Y21" s="186" t="s">
        <v>187</v>
      </c>
      <c r="Z21" s="185" t="s">
        <v>187</v>
      </c>
      <c r="AA21" s="149"/>
      <c r="AB21" s="191"/>
      <c r="AC21" s="185" t="s">
        <v>187</v>
      </c>
      <c r="AD21" s="186" t="s">
        <v>187</v>
      </c>
      <c r="AE21" s="186" t="s">
        <v>189</v>
      </c>
      <c r="AF21" s="149"/>
      <c r="AG21" s="191"/>
      <c r="AH21" s="185" t="s">
        <v>212</v>
      </c>
      <c r="AI21" s="185" t="s">
        <v>212</v>
      </c>
      <c r="AJ21" s="185" t="s">
        <v>212</v>
      </c>
      <c r="AK21" s="299"/>
      <c r="AL21" s="191"/>
      <c r="AM21" s="185" t="s">
        <v>212</v>
      </c>
      <c r="AN21" s="185" t="s">
        <v>212</v>
      </c>
      <c r="AO21" s="185" t="s">
        <v>212</v>
      </c>
      <c r="AP21" s="299"/>
      <c r="AQ21" s="191"/>
      <c r="AR21" s="185" t="s">
        <v>187</v>
      </c>
      <c r="AS21" s="186" t="s">
        <v>187</v>
      </c>
      <c r="AT21" s="59" t="s">
        <v>189</v>
      </c>
      <c r="AU21" s="149"/>
      <c r="AV21" s="191"/>
      <c r="AW21" s="185" t="s">
        <v>212</v>
      </c>
      <c r="AX21" s="185" t="s">
        <v>212</v>
      </c>
      <c r="AY21" s="185" t="s">
        <v>212</v>
      </c>
      <c r="AZ21" s="284" t="s">
        <v>283</v>
      </c>
      <c r="BA21" s="191"/>
      <c r="BB21" s="185" t="s">
        <v>187</v>
      </c>
      <c r="BC21" s="186" t="s">
        <v>187</v>
      </c>
      <c r="BD21" s="59" t="s">
        <v>189</v>
      </c>
      <c r="BE21" s="149"/>
      <c r="BF21" s="191"/>
      <c r="BG21" s="185" t="s">
        <v>187</v>
      </c>
      <c r="BH21" s="185"/>
      <c r="BI21" s="185"/>
      <c r="BJ21" s="149"/>
      <c r="BK21" s="191"/>
      <c r="BL21" s="185" t="s">
        <v>187</v>
      </c>
      <c r="BM21" s="185" t="s">
        <v>187</v>
      </c>
      <c r="BN21" s="186" t="s">
        <v>187</v>
      </c>
      <c r="BO21" s="149"/>
      <c r="BP21" s="191"/>
      <c r="BQ21" s="185" t="s">
        <v>211</v>
      </c>
      <c r="BR21" s="185"/>
      <c r="BS21" s="185"/>
      <c r="BT21" s="149"/>
      <c r="BU21" s="191"/>
      <c r="BV21" s="185" t="s">
        <v>212</v>
      </c>
      <c r="BW21" s="185" t="s">
        <v>212</v>
      </c>
      <c r="BX21" s="185" t="s">
        <v>212</v>
      </c>
      <c r="BY21" s="278" t="s">
        <v>264</v>
      </c>
      <c r="BZ21" s="286"/>
      <c r="CA21" s="185" t="s">
        <v>212</v>
      </c>
      <c r="CB21" s="185" t="s">
        <v>212</v>
      </c>
      <c r="CC21" s="185" t="s">
        <v>212</v>
      </c>
      <c r="CD21" s="284" t="s">
        <v>284</v>
      </c>
      <c r="CE21" s="286"/>
      <c r="CF21" s="185" t="s">
        <v>212</v>
      </c>
      <c r="CG21" s="185" t="s">
        <v>212</v>
      </c>
      <c r="CH21" s="185" t="s">
        <v>212</v>
      </c>
      <c r="CI21" s="278" t="s">
        <v>284</v>
      </c>
      <c r="CJ21" s="466"/>
    </row>
    <row r="22" spans="2:88" ht="34">
      <c r="B22" s="35" t="s">
        <v>22</v>
      </c>
      <c r="C22" s="150" t="s">
        <v>30</v>
      </c>
      <c r="D22" s="185" t="s">
        <v>212</v>
      </c>
      <c r="E22" s="185" t="s">
        <v>212</v>
      </c>
      <c r="F22" s="185" t="s">
        <v>212</v>
      </c>
      <c r="G22" s="149" t="s">
        <v>287</v>
      </c>
      <c r="H22" s="188"/>
      <c r="I22" s="323" t="s">
        <v>187</v>
      </c>
      <c r="J22" s="323" t="s">
        <v>187</v>
      </c>
      <c r="K22" s="186" t="s">
        <v>189</v>
      </c>
      <c r="L22" s="149" t="s">
        <v>288</v>
      </c>
      <c r="M22" s="278" t="s">
        <v>277</v>
      </c>
      <c r="N22" s="185" t="s">
        <v>187</v>
      </c>
      <c r="O22" s="185" t="s">
        <v>187</v>
      </c>
      <c r="P22" s="185" t="s">
        <v>187</v>
      </c>
      <c r="Q22" s="149"/>
      <c r="R22" s="438"/>
      <c r="S22" s="185" t="s">
        <v>187</v>
      </c>
      <c r="T22" s="185" t="s">
        <v>187</v>
      </c>
      <c r="U22" s="185" t="s">
        <v>187</v>
      </c>
      <c r="V22" s="149"/>
      <c r="W22" s="438"/>
      <c r="X22" s="185" t="s">
        <v>187</v>
      </c>
      <c r="Y22" s="186" t="s">
        <v>187</v>
      </c>
      <c r="Z22" s="185" t="s">
        <v>187</v>
      </c>
      <c r="AA22" s="149"/>
      <c r="AB22" s="188"/>
      <c r="AC22" s="185" t="s">
        <v>189</v>
      </c>
      <c r="AD22" s="186" t="s">
        <v>189</v>
      </c>
      <c r="AE22" s="186" t="s">
        <v>189</v>
      </c>
      <c r="AF22" s="149"/>
      <c r="AG22" s="188"/>
      <c r="AH22" s="185" t="s">
        <v>212</v>
      </c>
      <c r="AI22" s="185" t="s">
        <v>212</v>
      </c>
      <c r="AJ22" s="185" t="s">
        <v>212</v>
      </c>
      <c r="AK22" s="299"/>
      <c r="AL22" s="188"/>
      <c r="AM22" s="185" t="s">
        <v>212</v>
      </c>
      <c r="AN22" s="185" t="s">
        <v>212</v>
      </c>
      <c r="AO22" s="185" t="s">
        <v>212</v>
      </c>
      <c r="AP22" s="299"/>
      <c r="AQ22" s="188"/>
      <c r="AR22" s="185" t="s">
        <v>187</v>
      </c>
      <c r="AS22" s="186" t="s">
        <v>187</v>
      </c>
      <c r="AT22" s="59" t="s">
        <v>189</v>
      </c>
      <c r="AU22" s="149"/>
      <c r="AV22" s="188"/>
      <c r="AW22" s="185" t="s">
        <v>212</v>
      </c>
      <c r="AX22" s="185" t="s">
        <v>212</v>
      </c>
      <c r="AY22" s="185" t="s">
        <v>212</v>
      </c>
      <c r="AZ22" s="284" t="s">
        <v>283</v>
      </c>
      <c r="BA22" s="188"/>
      <c r="BB22" s="185" t="s">
        <v>187</v>
      </c>
      <c r="BC22" s="186" t="s">
        <v>187</v>
      </c>
      <c r="BD22" s="59" t="s">
        <v>189</v>
      </c>
      <c r="BE22" s="149"/>
      <c r="BF22" s="188"/>
      <c r="BG22" s="185" t="s">
        <v>187</v>
      </c>
      <c r="BH22" s="185"/>
      <c r="BI22" s="185"/>
      <c r="BJ22" s="149"/>
      <c r="BK22" s="188"/>
      <c r="BL22" s="185" t="s">
        <v>187</v>
      </c>
      <c r="BM22" s="185" t="s">
        <v>187</v>
      </c>
      <c r="BN22" s="186" t="s">
        <v>187</v>
      </c>
      <c r="BO22" s="149"/>
      <c r="BP22" s="188"/>
      <c r="BQ22" s="185" t="s">
        <v>211</v>
      </c>
      <c r="BR22" s="185"/>
      <c r="BS22" s="185"/>
      <c r="BT22" s="149"/>
      <c r="BU22" s="188"/>
      <c r="BV22" s="185" t="s">
        <v>212</v>
      </c>
      <c r="BW22" s="185" t="s">
        <v>212</v>
      </c>
      <c r="BX22" s="185" t="s">
        <v>212</v>
      </c>
      <c r="BY22" s="278" t="s">
        <v>264</v>
      </c>
      <c r="BZ22" s="188"/>
      <c r="CA22" s="185" t="s">
        <v>212</v>
      </c>
      <c r="CB22" s="185" t="s">
        <v>212</v>
      </c>
      <c r="CC22" s="185" t="s">
        <v>212</v>
      </c>
      <c r="CD22" s="284" t="s">
        <v>284</v>
      </c>
      <c r="CE22" s="188"/>
      <c r="CF22" s="185" t="s">
        <v>212</v>
      </c>
      <c r="CG22" s="185" t="s">
        <v>212</v>
      </c>
      <c r="CH22" s="185" t="s">
        <v>212</v>
      </c>
      <c r="CI22" s="278" t="s">
        <v>284</v>
      </c>
      <c r="CJ22" s="466"/>
    </row>
    <row r="23" spans="2:88" ht="18.75" customHeight="1">
      <c r="B23" s="35" t="s">
        <v>22</v>
      </c>
      <c r="C23" s="52" t="s">
        <v>32</v>
      </c>
      <c r="D23" s="185" t="s">
        <v>212</v>
      </c>
      <c r="E23" s="185" t="s">
        <v>212</v>
      </c>
      <c r="F23" s="185" t="s">
        <v>212</v>
      </c>
      <c r="G23" s="149" t="s">
        <v>287</v>
      </c>
      <c r="H23" s="184"/>
      <c r="I23" s="185" t="s">
        <v>187</v>
      </c>
      <c r="J23" s="185" t="s">
        <v>187</v>
      </c>
      <c r="K23" s="186" t="s">
        <v>187</v>
      </c>
      <c r="L23" s="149" t="s">
        <v>290</v>
      </c>
      <c r="M23" s="278"/>
      <c r="N23" s="185" t="s">
        <v>188</v>
      </c>
      <c r="O23" s="185" t="s">
        <v>187</v>
      </c>
      <c r="P23" s="59" t="s">
        <v>189</v>
      </c>
      <c r="Q23" s="149" t="s">
        <v>291</v>
      </c>
      <c r="R23" s="438"/>
      <c r="S23" s="185" t="s">
        <v>187</v>
      </c>
      <c r="T23" s="185" t="s">
        <v>187</v>
      </c>
      <c r="U23" s="59" t="s">
        <v>189</v>
      </c>
      <c r="V23" s="194" t="s">
        <v>292</v>
      </c>
      <c r="W23" s="438"/>
      <c r="X23" s="185" t="s">
        <v>187</v>
      </c>
      <c r="Y23" s="186" t="s">
        <v>187</v>
      </c>
      <c r="Z23" s="185" t="s">
        <v>187</v>
      </c>
      <c r="AA23" s="149"/>
      <c r="AB23" s="184"/>
      <c r="AC23" s="185" t="s">
        <v>187</v>
      </c>
      <c r="AD23" s="186" t="s">
        <v>187</v>
      </c>
      <c r="AE23" s="186" t="s">
        <v>189</v>
      </c>
      <c r="AF23" s="149"/>
      <c r="AG23" s="184"/>
      <c r="AH23" s="185" t="s">
        <v>187</v>
      </c>
      <c r="AI23" s="185" t="s">
        <v>187</v>
      </c>
      <c r="AJ23" s="185" t="s">
        <v>187</v>
      </c>
      <c r="AK23" s="299"/>
      <c r="AL23" s="188"/>
      <c r="AM23" s="185" t="s">
        <v>187</v>
      </c>
      <c r="AN23" s="185" t="s">
        <v>187</v>
      </c>
      <c r="AO23" s="185" t="s">
        <v>189</v>
      </c>
      <c r="AP23" s="299"/>
      <c r="AQ23" s="184"/>
      <c r="AR23" s="185" t="s">
        <v>187</v>
      </c>
      <c r="AS23" s="186" t="s">
        <v>187</v>
      </c>
      <c r="AT23" s="59" t="s">
        <v>189</v>
      </c>
      <c r="AU23" s="149"/>
      <c r="AV23" s="184"/>
      <c r="AW23" s="185" t="s">
        <v>212</v>
      </c>
      <c r="AX23" s="185" t="s">
        <v>212</v>
      </c>
      <c r="AY23" s="185" t="s">
        <v>212</v>
      </c>
      <c r="AZ23" s="284" t="s">
        <v>283</v>
      </c>
      <c r="BA23" s="184"/>
      <c r="BB23" s="185" t="s">
        <v>187</v>
      </c>
      <c r="BC23" s="186" t="s">
        <v>187</v>
      </c>
      <c r="BD23" s="59" t="s">
        <v>189</v>
      </c>
      <c r="BE23" s="149"/>
      <c r="BF23" s="184"/>
      <c r="BG23" s="185" t="s">
        <v>211</v>
      </c>
      <c r="BH23" s="185"/>
      <c r="BI23" s="59"/>
      <c r="BJ23" s="149"/>
      <c r="BK23" s="184"/>
      <c r="BL23" s="185" t="s">
        <v>187</v>
      </c>
      <c r="BM23" s="185" t="s">
        <v>187</v>
      </c>
      <c r="BN23" s="186" t="s">
        <v>189</v>
      </c>
      <c r="BO23" s="149"/>
      <c r="BP23" s="184"/>
      <c r="BQ23" s="185" t="s">
        <v>211</v>
      </c>
      <c r="BR23" s="185"/>
      <c r="BS23" s="59"/>
      <c r="BT23" s="149"/>
      <c r="BU23" s="184"/>
      <c r="BV23" s="185" t="s">
        <v>212</v>
      </c>
      <c r="BW23" s="185" t="s">
        <v>212</v>
      </c>
      <c r="BX23" s="185" t="s">
        <v>212</v>
      </c>
      <c r="BY23" s="278" t="s">
        <v>264</v>
      </c>
      <c r="BZ23" s="283"/>
      <c r="CA23" s="185" t="s">
        <v>212</v>
      </c>
      <c r="CB23" s="185" t="s">
        <v>212</v>
      </c>
      <c r="CC23" s="185" t="s">
        <v>212</v>
      </c>
      <c r="CD23" s="284" t="s">
        <v>284</v>
      </c>
      <c r="CE23" s="283"/>
      <c r="CF23" s="185" t="s">
        <v>212</v>
      </c>
      <c r="CG23" s="185" t="s">
        <v>212</v>
      </c>
      <c r="CH23" s="185" t="s">
        <v>212</v>
      </c>
      <c r="CI23" s="278" t="s">
        <v>284</v>
      </c>
      <c r="CJ23" s="466"/>
    </row>
    <row r="24" spans="2:88" ht="34">
      <c r="B24" s="35" t="s">
        <v>22</v>
      </c>
      <c r="C24" s="51" t="s">
        <v>34</v>
      </c>
      <c r="D24" s="185" t="s">
        <v>212</v>
      </c>
      <c r="E24" s="185" t="s">
        <v>212</v>
      </c>
      <c r="F24" s="185" t="s">
        <v>212</v>
      </c>
      <c r="G24" s="149" t="s">
        <v>287</v>
      </c>
      <c r="H24" s="188"/>
      <c r="I24" s="323" t="s">
        <v>187</v>
      </c>
      <c r="J24" s="323" t="s">
        <v>187</v>
      </c>
      <c r="K24" s="186" t="s">
        <v>189</v>
      </c>
      <c r="L24" s="149" t="s">
        <v>293</v>
      </c>
      <c r="M24" s="317" t="s">
        <v>294</v>
      </c>
      <c r="N24" s="185" t="s">
        <v>188</v>
      </c>
      <c r="O24" s="185" t="s">
        <v>187</v>
      </c>
      <c r="P24" s="59" t="s">
        <v>189</v>
      </c>
      <c r="Q24" s="149" t="s">
        <v>295</v>
      </c>
      <c r="R24" s="438"/>
      <c r="S24" s="185" t="s">
        <v>187</v>
      </c>
      <c r="T24" s="185" t="s">
        <v>187</v>
      </c>
      <c r="U24" s="59" t="s">
        <v>189</v>
      </c>
      <c r="V24" s="328"/>
      <c r="W24" s="438"/>
      <c r="X24" s="185" t="s">
        <v>187</v>
      </c>
      <c r="Y24" s="186" t="s">
        <v>187</v>
      </c>
      <c r="Z24" s="185" t="s">
        <v>187</v>
      </c>
      <c r="AA24" s="149"/>
      <c r="AB24" s="188"/>
      <c r="AC24" s="185" t="s">
        <v>189</v>
      </c>
      <c r="AD24" s="186" t="s">
        <v>189</v>
      </c>
      <c r="AE24" s="185" t="s">
        <v>189</v>
      </c>
      <c r="AF24" s="149"/>
      <c r="AG24" s="188"/>
      <c r="AH24" s="185" t="s">
        <v>212</v>
      </c>
      <c r="AI24" s="185" t="s">
        <v>212</v>
      </c>
      <c r="AJ24" s="185" t="s">
        <v>212</v>
      </c>
      <c r="AK24" s="299" t="s">
        <v>296</v>
      </c>
      <c r="AL24" s="188"/>
      <c r="AM24" s="185" t="s">
        <v>212</v>
      </c>
      <c r="AN24" s="185" t="s">
        <v>212</v>
      </c>
      <c r="AO24" s="185" t="s">
        <v>212</v>
      </c>
      <c r="AP24" s="299" t="s">
        <v>297</v>
      </c>
      <c r="AQ24" s="188"/>
      <c r="AR24" s="185" t="s">
        <v>187</v>
      </c>
      <c r="AS24" s="186" t="s">
        <v>187</v>
      </c>
      <c r="AT24" s="59" t="s">
        <v>189</v>
      </c>
      <c r="AU24" s="149"/>
      <c r="AV24" s="188"/>
      <c r="AW24" s="185" t="s">
        <v>212</v>
      </c>
      <c r="AX24" s="185" t="s">
        <v>212</v>
      </c>
      <c r="AY24" s="185" t="s">
        <v>212</v>
      </c>
      <c r="AZ24" s="284" t="s">
        <v>283</v>
      </c>
      <c r="BA24" s="188"/>
      <c r="BB24" s="185" t="s">
        <v>187</v>
      </c>
      <c r="BC24" s="186" t="s">
        <v>187</v>
      </c>
      <c r="BD24" s="59" t="s">
        <v>189</v>
      </c>
      <c r="BE24" s="149"/>
      <c r="BF24" s="188"/>
      <c r="BG24" s="185" t="s">
        <v>211</v>
      </c>
      <c r="BH24" s="185"/>
      <c r="BI24" s="59"/>
      <c r="BJ24" s="149"/>
      <c r="BK24" s="188"/>
      <c r="BL24" s="185" t="s">
        <v>187</v>
      </c>
      <c r="BM24" s="185" t="s">
        <v>187</v>
      </c>
      <c r="BN24" s="186" t="s">
        <v>189</v>
      </c>
      <c r="BO24" s="149"/>
      <c r="BP24" s="188"/>
      <c r="BQ24" s="185" t="s">
        <v>211</v>
      </c>
      <c r="BR24" s="185"/>
      <c r="BS24" s="59"/>
      <c r="BT24" s="149"/>
      <c r="BU24" s="188"/>
      <c r="BV24" s="185" t="s">
        <v>212</v>
      </c>
      <c r="BW24" s="185" t="s">
        <v>212</v>
      </c>
      <c r="BX24" s="185" t="s">
        <v>212</v>
      </c>
      <c r="BY24" s="278" t="s">
        <v>264</v>
      </c>
      <c r="BZ24" s="188"/>
      <c r="CA24" s="185" t="s">
        <v>212</v>
      </c>
      <c r="CB24" s="185" t="s">
        <v>212</v>
      </c>
      <c r="CC24" s="185" t="s">
        <v>212</v>
      </c>
      <c r="CD24" s="284" t="s">
        <v>284</v>
      </c>
      <c r="CE24" s="188"/>
      <c r="CF24" s="185" t="s">
        <v>212</v>
      </c>
      <c r="CG24" s="185" t="s">
        <v>212</v>
      </c>
      <c r="CH24" s="185" t="s">
        <v>212</v>
      </c>
      <c r="CI24" s="278" t="s">
        <v>284</v>
      </c>
      <c r="CJ24" s="466"/>
    </row>
    <row r="25" spans="2:88" ht="85">
      <c r="B25" s="35" t="s">
        <v>22</v>
      </c>
      <c r="C25" s="35" t="s">
        <v>36</v>
      </c>
      <c r="D25" s="185" t="s">
        <v>212</v>
      </c>
      <c r="E25" s="185" t="s">
        <v>212</v>
      </c>
      <c r="F25" s="185" t="s">
        <v>212</v>
      </c>
      <c r="G25" s="149" t="s">
        <v>287</v>
      </c>
      <c r="H25" s="184"/>
      <c r="I25" s="323" t="s">
        <v>187</v>
      </c>
      <c r="J25" s="323" t="s">
        <v>187</v>
      </c>
      <c r="K25" s="186" t="s">
        <v>189</v>
      </c>
      <c r="L25" s="149" t="s">
        <v>298</v>
      </c>
      <c r="M25" s="317" t="s">
        <v>299</v>
      </c>
      <c r="N25" s="185" t="s">
        <v>188</v>
      </c>
      <c r="O25" s="185" t="s">
        <v>187</v>
      </c>
      <c r="P25" s="59" t="s">
        <v>189</v>
      </c>
      <c r="Q25" s="149" t="s">
        <v>295</v>
      </c>
      <c r="R25" s="438"/>
      <c r="S25" s="185" t="s">
        <v>188</v>
      </c>
      <c r="T25" s="185" t="s">
        <v>187</v>
      </c>
      <c r="U25" s="59" t="s">
        <v>189</v>
      </c>
      <c r="V25" s="149" t="s">
        <v>295</v>
      </c>
      <c r="W25" s="438"/>
      <c r="X25" s="185" t="s">
        <v>187</v>
      </c>
      <c r="Y25" s="186" t="s">
        <v>187</v>
      </c>
      <c r="Z25" s="185" t="s">
        <v>187</v>
      </c>
      <c r="AA25" s="149"/>
      <c r="AB25" s="184"/>
      <c r="AC25" s="185" t="s">
        <v>189</v>
      </c>
      <c r="AD25" s="186" t="s">
        <v>189</v>
      </c>
      <c r="AE25" s="186" t="s">
        <v>189</v>
      </c>
      <c r="AF25" s="149"/>
      <c r="AG25" s="184"/>
      <c r="AH25" s="185" t="s">
        <v>212</v>
      </c>
      <c r="AI25" s="185" t="s">
        <v>212</v>
      </c>
      <c r="AJ25" s="185" t="s">
        <v>212</v>
      </c>
      <c r="AK25" s="299"/>
      <c r="AL25" s="184"/>
      <c r="AM25" s="185" t="s">
        <v>212</v>
      </c>
      <c r="AN25" s="185" t="s">
        <v>212</v>
      </c>
      <c r="AO25" s="185" t="s">
        <v>212</v>
      </c>
      <c r="AP25" s="299"/>
      <c r="AQ25" s="184"/>
      <c r="AR25" s="185" t="s">
        <v>187</v>
      </c>
      <c r="AS25" s="186" t="s">
        <v>187</v>
      </c>
      <c r="AT25" s="59" t="s">
        <v>189</v>
      </c>
      <c r="AU25" s="149"/>
      <c r="AV25" s="184"/>
      <c r="AW25" s="185" t="s">
        <v>212</v>
      </c>
      <c r="AX25" s="185" t="s">
        <v>212</v>
      </c>
      <c r="AY25" s="185" t="s">
        <v>212</v>
      </c>
      <c r="AZ25" s="284" t="s">
        <v>283</v>
      </c>
      <c r="BA25" s="184"/>
      <c r="BB25" s="185" t="s">
        <v>187</v>
      </c>
      <c r="BC25" s="186" t="s">
        <v>187</v>
      </c>
      <c r="BD25" s="59" t="s">
        <v>189</v>
      </c>
      <c r="BE25" s="149"/>
      <c r="BF25" s="184"/>
      <c r="BG25" s="185" t="s">
        <v>211</v>
      </c>
      <c r="BH25" s="185"/>
      <c r="BI25" s="59"/>
      <c r="BJ25" s="149"/>
      <c r="BK25" s="184"/>
      <c r="BL25" s="185" t="s">
        <v>187</v>
      </c>
      <c r="BM25" s="185" t="s">
        <v>187</v>
      </c>
      <c r="BN25" s="186" t="s">
        <v>189</v>
      </c>
      <c r="BO25" s="149"/>
      <c r="BP25" s="184"/>
      <c r="BQ25" s="185" t="s">
        <v>211</v>
      </c>
      <c r="BR25" s="185"/>
      <c r="BS25" s="59"/>
      <c r="BT25" s="149"/>
      <c r="BU25" s="184"/>
      <c r="BV25" s="185" t="s">
        <v>212</v>
      </c>
      <c r="BW25" s="185" t="s">
        <v>212</v>
      </c>
      <c r="BX25" s="185" t="s">
        <v>212</v>
      </c>
      <c r="BY25" s="278" t="s">
        <v>264</v>
      </c>
      <c r="BZ25" s="283"/>
      <c r="CA25" s="185" t="s">
        <v>212</v>
      </c>
      <c r="CB25" s="185" t="s">
        <v>212</v>
      </c>
      <c r="CC25" s="185" t="s">
        <v>212</v>
      </c>
      <c r="CD25" s="284" t="s">
        <v>284</v>
      </c>
      <c r="CE25" s="283"/>
      <c r="CF25" s="185" t="s">
        <v>212</v>
      </c>
      <c r="CG25" s="185" t="s">
        <v>212</v>
      </c>
      <c r="CH25" s="185" t="s">
        <v>212</v>
      </c>
      <c r="CI25" s="278" t="s">
        <v>284</v>
      </c>
      <c r="CJ25" s="466"/>
    </row>
    <row r="26" spans="2:88" ht="238">
      <c r="B26" s="35" t="s">
        <v>38</v>
      </c>
      <c r="C26" s="35" t="s">
        <v>40</v>
      </c>
      <c r="D26" s="185" t="s">
        <v>188</v>
      </c>
      <c r="E26" s="186" t="s">
        <v>189</v>
      </c>
      <c r="F26" s="59" t="s">
        <v>189</v>
      </c>
      <c r="G26" s="149" t="s">
        <v>287</v>
      </c>
      <c r="H26" s="188"/>
      <c r="I26" s="185" t="s">
        <v>187</v>
      </c>
      <c r="J26" s="185" t="s">
        <v>187</v>
      </c>
      <c r="K26" s="186" t="s">
        <v>187</v>
      </c>
      <c r="L26" s="318" t="s">
        <v>300</v>
      </c>
      <c r="M26" s="278"/>
      <c r="N26" s="185" t="s">
        <v>188</v>
      </c>
      <c r="O26" s="185" t="s">
        <v>187</v>
      </c>
      <c r="P26" s="59" t="s">
        <v>189</v>
      </c>
      <c r="Q26" s="149" t="s">
        <v>295</v>
      </c>
      <c r="R26" s="438"/>
      <c r="S26" s="185" t="s">
        <v>187</v>
      </c>
      <c r="T26" s="185" t="s">
        <v>187</v>
      </c>
      <c r="U26" s="59" t="s">
        <v>189</v>
      </c>
      <c r="V26" s="194" t="s">
        <v>301</v>
      </c>
      <c r="W26" s="438"/>
      <c r="X26" s="185" t="s">
        <v>187</v>
      </c>
      <c r="Y26" s="186" t="s">
        <v>187</v>
      </c>
      <c r="Z26" s="185" t="s">
        <v>187</v>
      </c>
      <c r="AA26" s="149"/>
      <c r="AB26" s="188"/>
      <c r="AC26" s="185" t="s">
        <v>189</v>
      </c>
      <c r="AD26" s="186" t="s">
        <v>189</v>
      </c>
      <c r="AE26" s="186" t="s">
        <v>189</v>
      </c>
      <c r="AF26" s="149"/>
      <c r="AG26" s="188"/>
      <c r="AH26" s="185" t="s">
        <v>212</v>
      </c>
      <c r="AI26" s="185" t="s">
        <v>212</v>
      </c>
      <c r="AJ26" s="185" t="s">
        <v>212</v>
      </c>
      <c r="AK26" s="299" t="s">
        <v>302</v>
      </c>
      <c r="AL26" s="188"/>
      <c r="AM26" s="185" t="s">
        <v>212</v>
      </c>
      <c r="AN26" s="185" t="s">
        <v>212</v>
      </c>
      <c r="AO26" s="185" t="s">
        <v>212</v>
      </c>
      <c r="AP26" s="299" t="s">
        <v>302</v>
      </c>
      <c r="AQ26" s="188"/>
      <c r="AR26" s="185" t="s">
        <v>187</v>
      </c>
      <c r="AS26" s="185" t="s">
        <v>187</v>
      </c>
      <c r="AT26" s="59" t="s">
        <v>189</v>
      </c>
      <c r="AU26" s="149"/>
      <c r="AV26" s="188"/>
      <c r="AW26" s="185" t="s">
        <v>187</v>
      </c>
      <c r="AX26" s="185" t="s">
        <v>187</v>
      </c>
      <c r="AY26" s="185" t="s">
        <v>187</v>
      </c>
      <c r="AZ26" s="149"/>
      <c r="BA26" s="188"/>
      <c r="BB26" s="185" t="s">
        <v>187</v>
      </c>
      <c r="BC26" s="186" t="s">
        <v>187</v>
      </c>
      <c r="BD26" s="59" t="s">
        <v>189</v>
      </c>
      <c r="BE26" s="149"/>
      <c r="BF26" s="188"/>
      <c r="BG26" s="185" t="s">
        <v>211</v>
      </c>
      <c r="BH26" s="185"/>
      <c r="BI26" s="59"/>
      <c r="BJ26" s="149"/>
      <c r="BK26" s="188"/>
      <c r="BL26" s="185" t="s">
        <v>187</v>
      </c>
      <c r="BM26" s="185" t="s">
        <v>187</v>
      </c>
      <c r="BN26" s="186" t="s">
        <v>189</v>
      </c>
      <c r="BO26" s="149"/>
      <c r="BP26" s="188"/>
      <c r="BQ26" s="185" t="s">
        <v>211</v>
      </c>
      <c r="BR26" s="185"/>
      <c r="BS26" s="59"/>
      <c r="BT26" s="149"/>
      <c r="BU26" s="188"/>
      <c r="BV26" s="185" t="s">
        <v>212</v>
      </c>
      <c r="BW26" s="185" t="s">
        <v>212</v>
      </c>
      <c r="BX26" s="185" t="s">
        <v>212</v>
      </c>
      <c r="BY26" s="278" t="s">
        <v>264</v>
      </c>
      <c r="BZ26" s="188"/>
      <c r="CA26" s="185" t="s">
        <v>187</v>
      </c>
      <c r="CB26" s="185" t="s">
        <v>187</v>
      </c>
      <c r="CC26" s="185" t="s">
        <v>212</v>
      </c>
      <c r="CD26" s="284"/>
      <c r="CE26" s="188"/>
      <c r="CF26" s="185" t="s">
        <v>187</v>
      </c>
      <c r="CG26" s="185" t="s">
        <v>187</v>
      </c>
      <c r="CH26" s="185" t="s">
        <v>187</v>
      </c>
      <c r="CI26" s="278"/>
      <c r="CJ26" s="466"/>
    </row>
    <row r="27" spans="2:88" ht="238">
      <c r="B27" s="35" t="s">
        <v>38</v>
      </c>
      <c r="C27" s="35" t="s">
        <v>42</v>
      </c>
      <c r="D27" s="185" t="s">
        <v>188</v>
      </c>
      <c r="E27" s="186" t="s">
        <v>189</v>
      </c>
      <c r="F27" s="59" t="s">
        <v>189</v>
      </c>
      <c r="G27" s="149" t="s">
        <v>287</v>
      </c>
      <c r="H27" s="184"/>
      <c r="I27" s="185" t="s">
        <v>187</v>
      </c>
      <c r="J27" s="185" t="s">
        <v>187</v>
      </c>
      <c r="K27" s="186" t="s">
        <v>187</v>
      </c>
      <c r="L27" s="318" t="s">
        <v>303</v>
      </c>
      <c r="M27" s="278"/>
      <c r="N27" s="185" t="s">
        <v>188</v>
      </c>
      <c r="O27" s="185" t="s">
        <v>187</v>
      </c>
      <c r="P27" s="59" t="s">
        <v>189</v>
      </c>
      <c r="Q27" s="149" t="s">
        <v>295</v>
      </c>
      <c r="R27" s="438"/>
      <c r="S27" s="185" t="s">
        <v>187</v>
      </c>
      <c r="T27" s="185" t="s">
        <v>187</v>
      </c>
      <c r="U27" s="59" t="s">
        <v>189</v>
      </c>
      <c r="V27" s="329" t="s">
        <v>304</v>
      </c>
      <c r="W27" s="438"/>
      <c r="X27" s="185" t="s">
        <v>187</v>
      </c>
      <c r="Y27" s="186" t="s">
        <v>187</v>
      </c>
      <c r="Z27" s="185" t="s">
        <v>187</v>
      </c>
      <c r="AA27" s="190"/>
      <c r="AB27" s="184"/>
      <c r="AC27" s="185" t="s">
        <v>189</v>
      </c>
      <c r="AD27" s="186" t="s">
        <v>189</v>
      </c>
      <c r="AE27" s="186" t="s">
        <v>189</v>
      </c>
      <c r="AF27" s="190"/>
      <c r="AG27" s="184"/>
      <c r="AH27" s="185" t="s">
        <v>212</v>
      </c>
      <c r="AI27" s="185" t="s">
        <v>212</v>
      </c>
      <c r="AJ27" s="185" t="s">
        <v>212</v>
      </c>
      <c r="AK27" s="304" t="s">
        <v>302</v>
      </c>
      <c r="AL27" s="184"/>
      <c r="AM27" s="185" t="s">
        <v>212</v>
      </c>
      <c r="AN27" s="185" t="s">
        <v>212</v>
      </c>
      <c r="AO27" s="185" t="s">
        <v>212</v>
      </c>
      <c r="AP27" s="304" t="s">
        <v>302</v>
      </c>
      <c r="AQ27" s="184"/>
      <c r="AR27" s="185" t="s">
        <v>187</v>
      </c>
      <c r="AS27" s="185" t="s">
        <v>187</v>
      </c>
      <c r="AT27" s="59" t="s">
        <v>189</v>
      </c>
      <c r="AU27" s="190"/>
      <c r="AV27" s="184"/>
      <c r="AW27" s="185" t="s">
        <v>187</v>
      </c>
      <c r="AX27" s="185" t="s">
        <v>187</v>
      </c>
      <c r="AY27" s="185" t="s">
        <v>187</v>
      </c>
      <c r="AZ27" s="190"/>
      <c r="BA27" s="184"/>
      <c r="BB27" s="185" t="s">
        <v>187</v>
      </c>
      <c r="BC27" s="186" t="s">
        <v>187</v>
      </c>
      <c r="BD27" s="59" t="s">
        <v>189</v>
      </c>
      <c r="BE27" s="190"/>
      <c r="BF27" s="184"/>
      <c r="BG27" s="185" t="s">
        <v>211</v>
      </c>
      <c r="BH27" s="185"/>
      <c r="BI27" s="59"/>
      <c r="BJ27" s="190"/>
      <c r="BK27" s="184"/>
      <c r="BL27" s="185" t="s">
        <v>187</v>
      </c>
      <c r="BM27" s="185" t="s">
        <v>187</v>
      </c>
      <c r="BN27" s="186" t="s">
        <v>189</v>
      </c>
      <c r="BO27" s="190"/>
      <c r="BP27" s="184"/>
      <c r="BQ27" s="185" t="s">
        <v>211</v>
      </c>
      <c r="BR27" s="185"/>
      <c r="BS27" s="59"/>
      <c r="BT27" s="190"/>
      <c r="BU27" s="184"/>
      <c r="BV27" s="185" t="s">
        <v>212</v>
      </c>
      <c r="BW27" s="185" t="s">
        <v>212</v>
      </c>
      <c r="BX27" s="185" t="s">
        <v>212</v>
      </c>
      <c r="BY27" s="278" t="s">
        <v>264</v>
      </c>
      <c r="BZ27" s="283"/>
      <c r="CA27" s="185" t="s">
        <v>187</v>
      </c>
      <c r="CB27" s="185" t="s">
        <v>187</v>
      </c>
      <c r="CC27" s="185" t="s">
        <v>212</v>
      </c>
      <c r="CD27" s="285"/>
      <c r="CE27" s="283"/>
      <c r="CF27" s="185" t="s">
        <v>187</v>
      </c>
      <c r="CG27" s="185" t="s">
        <v>187</v>
      </c>
      <c r="CH27" s="185" t="s">
        <v>187</v>
      </c>
      <c r="CI27" s="278"/>
      <c r="CJ27" s="466"/>
    </row>
    <row r="28" spans="2:88" ht="102">
      <c r="B28" s="35" t="s">
        <v>38</v>
      </c>
      <c r="C28" s="35" t="s">
        <v>44</v>
      </c>
      <c r="D28" s="185" t="s">
        <v>188</v>
      </c>
      <c r="E28" s="186" t="s">
        <v>189</v>
      </c>
      <c r="F28" s="59" t="s">
        <v>189</v>
      </c>
      <c r="G28" s="149" t="s">
        <v>287</v>
      </c>
      <c r="H28" s="184"/>
      <c r="I28" s="323" t="s">
        <v>187</v>
      </c>
      <c r="J28" s="323" t="s">
        <v>187</v>
      </c>
      <c r="K28" s="186" t="s">
        <v>189</v>
      </c>
      <c r="L28" s="318" t="s">
        <v>305</v>
      </c>
      <c r="M28" s="317" t="s">
        <v>306</v>
      </c>
      <c r="N28" s="185" t="s">
        <v>188</v>
      </c>
      <c r="O28" s="185" t="s">
        <v>187</v>
      </c>
      <c r="P28" s="59" t="s">
        <v>189</v>
      </c>
      <c r="Q28" s="149" t="s">
        <v>295</v>
      </c>
      <c r="R28" s="438"/>
      <c r="S28" s="185" t="s">
        <v>188</v>
      </c>
      <c r="T28" s="185" t="s">
        <v>187</v>
      </c>
      <c r="U28" s="59" t="s">
        <v>189</v>
      </c>
      <c r="V28" s="149" t="s">
        <v>295</v>
      </c>
      <c r="W28" s="438"/>
      <c r="X28" s="185" t="s">
        <v>187</v>
      </c>
      <c r="Y28" s="186" t="s">
        <v>187</v>
      </c>
      <c r="Z28" s="185" t="s">
        <v>187</v>
      </c>
      <c r="AA28" s="189"/>
      <c r="AB28" s="184"/>
      <c r="AC28" s="185" t="s">
        <v>189</v>
      </c>
      <c r="AD28" s="186" t="s">
        <v>189</v>
      </c>
      <c r="AE28" s="186" t="s">
        <v>189</v>
      </c>
      <c r="AF28" s="189"/>
      <c r="AG28" s="184"/>
      <c r="AH28" s="185" t="s">
        <v>187</v>
      </c>
      <c r="AI28" s="185" t="s">
        <v>187</v>
      </c>
      <c r="AJ28" s="186" t="s">
        <v>189</v>
      </c>
      <c r="AK28" s="298"/>
      <c r="AL28" s="184"/>
      <c r="AM28" s="185" t="s">
        <v>187</v>
      </c>
      <c r="AN28" s="185" t="s">
        <v>187</v>
      </c>
      <c r="AO28" s="186" t="s">
        <v>189</v>
      </c>
      <c r="AP28" s="298"/>
      <c r="AQ28" s="184"/>
      <c r="AR28" s="185" t="s">
        <v>187</v>
      </c>
      <c r="AS28" s="185" t="s">
        <v>187</v>
      </c>
      <c r="AT28" s="59" t="s">
        <v>189</v>
      </c>
      <c r="AU28" s="189"/>
      <c r="AV28" s="184"/>
      <c r="AW28" s="185" t="s">
        <v>187</v>
      </c>
      <c r="AX28" s="185" t="s">
        <v>187</v>
      </c>
      <c r="AY28" s="185" t="s">
        <v>187</v>
      </c>
      <c r="AZ28" s="189"/>
      <c r="BA28" s="184"/>
      <c r="BB28" s="185" t="s">
        <v>187</v>
      </c>
      <c r="BC28" s="186" t="s">
        <v>187</v>
      </c>
      <c r="BD28" s="59" t="s">
        <v>189</v>
      </c>
      <c r="BE28" s="189"/>
      <c r="BF28" s="184"/>
      <c r="BG28" s="185" t="s">
        <v>211</v>
      </c>
      <c r="BH28" s="185"/>
      <c r="BI28" s="59"/>
      <c r="BJ28" s="189"/>
      <c r="BK28" s="184"/>
      <c r="BL28" s="185" t="s">
        <v>187</v>
      </c>
      <c r="BM28" s="185" t="s">
        <v>187</v>
      </c>
      <c r="BN28" s="186" t="s">
        <v>189</v>
      </c>
      <c r="BO28" s="189"/>
      <c r="BP28" s="184"/>
      <c r="BQ28" s="185" t="s">
        <v>211</v>
      </c>
      <c r="BR28" s="185"/>
      <c r="BS28" s="59"/>
      <c r="BT28" s="189"/>
      <c r="BU28" s="184"/>
      <c r="BV28" s="185" t="s">
        <v>212</v>
      </c>
      <c r="BW28" s="185" t="s">
        <v>212</v>
      </c>
      <c r="BX28" s="185" t="s">
        <v>212</v>
      </c>
      <c r="BY28" s="278" t="s">
        <v>264</v>
      </c>
      <c r="BZ28" s="283"/>
      <c r="CA28" s="185" t="s">
        <v>189</v>
      </c>
      <c r="CB28" s="185" t="s">
        <v>189</v>
      </c>
      <c r="CC28" s="185" t="s">
        <v>212</v>
      </c>
      <c r="CD28" s="189"/>
      <c r="CE28" s="283"/>
      <c r="CF28" s="185" t="s">
        <v>189</v>
      </c>
      <c r="CG28" s="185" t="s">
        <v>189</v>
      </c>
      <c r="CH28" s="185" t="s">
        <v>189</v>
      </c>
      <c r="CI28" s="278"/>
      <c r="CJ28" s="466"/>
    </row>
    <row r="29" spans="2:88" ht="51">
      <c r="B29" s="35" t="s">
        <v>38</v>
      </c>
      <c r="C29" s="35" t="s">
        <v>46</v>
      </c>
      <c r="D29" s="185" t="s">
        <v>188</v>
      </c>
      <c r="E29" s="186" t="s">
        <v>189</v>
      </c>
      <c r="F29" s="59" t="s">
        <v>189</v>
      </c>
      <c r="G29" s="149" t="s">
        <v>287</v>
      </c>
      <c r="H29" s="184"/>
      <c r="I29" s="323" t="s">
        <v>187</v>
      </c>
      <c r="J29" s="323" t="s">
        <v>187</v>
      </c>
      <c r="K29" s="186" t="s">
        <v>189</v>
      </c>
      <c r="L29" s="149" t="s">
        <v>307</v>
      </c>
      <c r="M29" s="317" t="s">
        <v>308</v>
      </c>
      <c r="N29" s="185" t="s">
        <v>188</v>
      </c>
      <c r="O29" s="185" t="s">
        <v>187</v>
      </c>
      <c r="P29" s="59" t="s">
        <v>189</v>
      </c>
      <c r="Q29" s="149" t="s">
        <v>295</v>
      </c>
      <c r="R29" s="438"/>
      <c r="S29" s="185" t="s">
        <v>309</v>
      </c>
      <c r="T29" s="185" t="s">
        <v>309</v>
      </c>
      <c r="U29" s="59" t="s">
        <v>189</v>
      </c>
      <c r="V29" s="149"/>
      <c r="W29" s="438"/>
      <c r="X29" s="185" t="s">
        <v>187</v>
      </c>
      <c r="Y29" s="186" t="s">
        <v>187</v>
      </c>
      <c r="Z29" s="185" t="s">
        <v>187</v>
      </c>
      <c r="AA29" s="149"/>
      <c r="AB29" s="184"/>
      <c r="AC29" s="185" t="s">
        <v>189</v>
      </c>
      <c r="AD29" s="186" t="s">
        <v>189</v>
      </c>
      <c r="AE29" s="186" t="s">
        <v>189</v>
      </c>
      <c r="AF29" s="149"/>
      <c r="AG29" s="184"/>
      <c r="AH29" s="185" t="s">
        <v>212</v>
      </c>
      <c r="AI29" s="185" t="s">
        <v>212</v>
      </c>
      <c r="AJ29" s="185" t="s">
        <v>212</v>
      </c>
      <c r="AK29" s="299" t="s">
        <v>310</v>
      </c>
      <c r="AL29" s="184"/>
      <c r="AM29" s="185" t="s">
        <v>212</v>
      </c>
      <c r="AN29" s="185" t="s">
        <v>212</v>
      </c>
      <c r="AO29" s="185" t="s">
        <v>212</v>
      </c>
      <c r="AP29" s="299" t="s">
        <v>310</v>
      </c>
      <c r="AQ29" s="184"/>
      <c r="AR29" s="185" t="s">
        <v>187</v>
      </c>
      <c r="AS29" s="185" t="s">
        <v>187</v>
      </c>
      <c r="AT29" s="59" t="s">
        <v>189</v>
      </c>
      <c r="AU29" s="149"/>
      <c r="AV29" s="184"/>
      <c r="AW29" s="185" t="s">
        <v>187</v>
      </c>
      <c r="AX29" s="185" t="s">
        <v>189</v>
      </c>
      <c r="AY29" s="59" t="s">
        <v>189</v>
      </c>
      <c r="AZ29" s="149"/>
      <c r="BA29" s="184"/>
      <c r="BB29" s="185" t="s">
        <v>187</v>
      </c>
      <c r="BC29" s="186" t="s">
        <v>187</v>
      </c>
      <c r="BD29" s="59" t="s">
        <v>189</v>
      </c>
      <c r="BE29" s="149"/>
      <c r="BF29" s="184"/>
      <c r="BG29" s="185" t="s">
        <v>211</v>
      </c>
      <c r="BH29" s="185"/>
      <c r="BI29" s="59"/>
      <c r="BJ29" s="149"/>
      <c r="BK29" s="184"/>
      <c r="BL29" s="185" t="s">
        <v>187</v>
      </c>
      <c r="BM29" s="185" t="s">
        <v>187</v>
      </c>
      <c r="BN29" s="186" t="s">
        <v>189</v>
      </c>
      <c r="BO29" s="149"/>
      <c r="BP29" s="184"/>
      <c r="BQ29" s="185" t="s">
        <v>211</v>
      </c>
      <c r="BR29" s="185"/>
      <c r="BS29" s="59"/>
      <c r="BT29" s="149"/>
      <c r="BU29" s="184"/>
      <c r="BV29" s="185" t="s">
        <v>212</v>
      </c>
      <c r="BW29" s="185" t="s">
        <v>212</v>
      </c>
      <c r="BX29" s="185" t="s">
        <v>212</v>
      </c>
      <c r="BY29" s="278" t="s">
        <v>264</v>
      </c>
      <c r="BZ29" s="283"/>
      <c r="CA29" s="185" t="s">
        <v>187</v>
      </c>
      <c r="CB29" s="185" t="s">
        <v>187</v>
      </c>
      <c r="CC29" s="185" t="s">
        <v>212</v>
      </c>
      <c r="CD29" s="284"/>
      <c r="CE29" s="283"/>
      <c r="CF29" s="185" t="s">
        <v>187</v>
      </c>
      <c r="CG29" s="185" t="s">
        <v>187</v>
      </c>
      <c r="CH29" s="185" t="s">
        <v>189</v>
      </c>
      <c r="CI29" s="278"/>
      <c r="CJ29" s="466"/>
    </row>
    <row r="30" spans="2:88" ht="68">
      <c r="B30" s="35" t="s">
        <v>38</v>
      </c>
      <c r="C30" s="35" t="s">
        <v>48</v>
      </c>
      <c r="D30" s="185" t="s">
        <v>188</v>
      </c>
      <c r="E30" s="186" t="s">
        <v>189</v>
      </c>
      <c r="F30" s="59" t="s">
        <v>189</v>
      </c>
      <c r="G30" s="149" t="s">
        <v>287</v>
      </c>
      <c r="H30" s="188"/>
      <c r="I30" s="185" t="s">
        <v>189</v>
      </c>
      <c r="J30" s="185" t="s">
        <v>189</v>
      </c>
      <c r="K30" s="186" t="s">
        <v>189</v>
      </c>
      <c r="L30" s="149" t="s">
        <v>311</v>
      </c>
      <c r="M30" s="317" t="s">
        <v>312</v>
      </c>
      <c r="N30" s="185" t="s">
        <v>188</v>
      </c>
      <c r="O30" s="185" t="s">
        <v>187</v>
      </c>
      <c r="P30" s="59" t="s">
        <v>189</v>
      </c>
      <c r="Q30" s="149" t="s">
        <v>295</v>
      </c>
      <c r="R30" s="438"/>
      <c r="S30" s="185" t="s">
        <v>188</v>
      </c>
      <c r="T30" s="185" t="s">
        <v>187</v>
      </c>
      <c r="U30" s="59" t="s">
        <v>189</v>
      </c>
      <c r="V30" s="149" t="s">
        <v>295</v>
      </c>
      <c r="W30" s="438"/>
      <c r="X30" s="185" t="s">
        <v>187</v>
      </c>
      <c r="Y30" s="186" t="s">
        <v>187</v>
      </c>
      <c r="Z30" s="185" t="s">
        <v>187</v>
      </c>
      <c r="AA30" s="149"/>
      <c r="AB30" s="188"/>
      <c r="AC30" s="185" t="s">
        <v>189</v>
      </c>
      <c r="AD30" s="186" t="s">
        <v>189</v>
      </c>
      <c r="AE30" s="186" t="s">
        <v>189</v>
      </c>
      <c r="AF30" s="149"/>
      <c r="AG30" s="188"/>
      <c r="AH30" s="185" t="s">
        <v>212</v>
      </c>
      <c r="AI30" s="185" t="s">
        <v>212</v>
      </c>
      <c r="AJ30" s="185" t="s">
        <v>212</v>
      </c>
      <c r="AK30" s="299" t="s">
        <v>310</v>
      </c>
      <c r="AL30" s="188"/>
      <c r="AM30" s="185" t="s">
        <v>212</v>
      </c>
      <c r="AN30" s="185" t="s">
        <v>212</v>
      </c>
      <c r="AO30" s="185" t="s">
        <v>212</v>
      </c>
      <c r="AP30" s="299" t="s">
        <v>310</v>
      </c>
      <c r="AQ30" s="188"/>
      <c r="AR30" s="185" t="s">
        <v>187</v>
      </c>
      <c r="AS30" s="185" t="s">
        <v>187</v>
      </c>
      <c r="AT30" s="59" t="s">
        <v>189</v>
      </c>
      <c r="AU30" s="149"/>
      <c r="AV30" s="188"/>
      <c r="AW30" s="185" t="s">
        <v>187</v>
      </c>
      <c r="AX30" s="185" t="s">
        <v>187</v>
      </c>
      <c r="AY30" s="59" t="s">
        <v>189</v>
      </c>
      <c r="AZ30" s="149"/>
      <c r="BA30" s="188"/>
      <c r="BB30" s="185" t="s">
        <v>187</v>
      </c>
      <c r="BC30" s="186" t="s">
        <v>187</v>
      </c>
      <c r="BD30" s="59" t="s">
        <v>189</v>
      </c>
      <c r="BE30" s="149"/>
      <c r="BF30" s="188"/>
      <c r="BG30" s="185" t="s">
        <v>211</v>
      </c>
      <c r="BH30" s="185"/>
      <c r="BI30" s="59"/>
      <c r="BJ30" s="149"/>
      <c r="BK30" s="188"/>
      <c r="BL30" s="185" t="s">
        <v>188</v>
      </c>
      <c r="BM30" s="185" t="s">
        <v>187</v>
      </c>
      <c r="BN30" s="186" t="s">
        <v>189</v>
      </c>
      <c r="BO30" s="149"/>
      <c r="BP30" s="188"/>
      <c r="BQ30" s="185" t="s">
        <v>211</v>
      </c>
      <c r="BR30" s="185"/>
      <c r="BS30" s="59"/>
      <c r="BT30" s="149"/>
      <c r="BU30" s="188"/>
      <c r="BV30" s="185" t="s">
        <v>212</v>
      </c>
      <c r="BW30" s="185" t="s">
        <v>212</v>
      </c>
      <c r="BX30" s="185" t="s">
        <v>212</v>
      </c>
      <c r="BY30" s="278" t="s">
        <v>264</v>
      </c>
      <c r="BZ30" s="188"/>
      <c r="CA30" s="185" t="s">
        <v>187</v>
      </c>
      <c r="CB30" s="185" t="s">
        <v>187</v>
      </c>
      <c r="CC30" s="185" t="s">
        <v>212</v>
      </c>
      <c r="CD30" s="284"/>
      <c r="CE30" s="188"/>
      <c r="CF30" s="185" t="s">
        <v>189</v>
      </c>
      <c r="CG30" s="185" t="s">
        <v>189</v>
      </c>
      <c r="CH30" s="185" t="s">
        <v>189</v>
      </c>
      <c r="CI30" s="278"/>
      <c r="CJ30" s="466"/>
    </row>
    <row r="31" spans="2:88" ht="34">
      <c r="B31" s="35" t="s">
        <v>38</v>
      </c>
      <c r="C31" s="35" t="s">
        <v>50</v>
      </c>
      <c r="D31" s="185" t="s">
        <v>188</v>
      </c>
      <c r="E31" s="186" t="s">
        <v>189</v>
      </c>
      <c r="F31" s="59" t="s">
        <v>189</v>
      </c>
      <c r="G31" s="149" t="s">
        <v>287</v>
      </c>
      <c r="H31" s="188"/>
      <c r="I31" s="323" t="s">
        <v>187</v>
      </c>
      <c r="J31" s="323" t="s">
        <v>187</v>
      </c>
      <c r="K31" s="186" t="s">
        <v>189</v>
      </c>
      <c r="L31" s="149" t="s">
        <v>313</v>
      </c>
      <c r="M31" s="317" t="s">
        <v>314</v>
      </c>
      <c r="N31" s="185" t="s">
        <v>188</v>
      </c>
      <c r="O31" s="185" t="s">
        <v>187</v>
      </c>
      <c r="P31" s="59" t="s">
        <v>189</v>
      </c>
      <c r="Q31" s="149" t="s">
        <v>295</v>
      </c>
      <c r="R31" s="438"/>
      <c r="S31" s="185" t="s">
        <v>188</v>
      </c>
      <c r="T31" s="185" t="s">
        <v>187</v>
      </c>
      <c r="U31" s="59" t="s">
        <v>189</v>
      </c>
      <c r="V31" s="149" t="s">
        <v>295</v>
      </c>
      <c r="W31" s="438"/>
      <c r="X31" s="185" t="s">
        <v>187</v>
      </c>
      <c r="Y31" s="186" t="s">
        <v>187</v>
      </c>
      <c r="Z31" s="185" t="s">
        <v>187</v>
      </c>
      <c r="AA31" s="149"/>
      <c r="AB31" s="188"/>
      <c r="AC31" s="185" t="s">
        <v>189</v>
      </c>
      <c r="AD31" s="186" t="s">
        <v>189</v>
      </c>
      <c r="AE31" s="186" t="s">
        <v>189</v>
      </c>
      <c r="AF31" s="149"/>
      <c r="AG31" s="188"/>
      <c r="AH31" s="185" t="s">
        <v>189</v>
      </c>
      <c r="AI31" s="185" t="s">
        <v>189</v>
      </c>
      <c r="AJ31" s="186" t="s">
        <v>189</v>
      </c>
      <c r="AK31" s="299"/>
      <c r="AL31" s="188"/>
      <c r="AM31" s="185" t="s">
        <v>189</v>
      </c>
      <c r="AN31" s="185" t="s">
        <v>189</v>
      </c>
      <c r="AO31" s="185" t="s">
        <v>189</v>
      </c>
      <c r="AP31" s="299"/>
      <c r="AQ31" s="188"/>
      <c r="AR31" s="185" t="s">
        <v>187</v>
      </c>
      <c r="AS31" s="185" t="s">
        <v>187</v>
      </c>
      <c r="AT31" s="59" t="s">
        <v>189</v>
      </c>
      <c r="AU31" s="149"/>
      <c r="AV31" s="188"/>
      <c r="AW31" s="185" t="s">
        <v>187</v>
      </c>
      <c r="AX31" s="185" t="s">
        <v>187</v>
      </c>
      <c r="AY31" s="59" t="s">
        <v>189</v>
      </c>
      <c r="AZ31" s="149"/>
      <c r="BA31" s="188"/>
      <c r="BB31" s="185" t="s">
        <v>187</v>
      </c>
      <c r="BC31" s="186" t="s">
        <v>187</v>
      </c>
      <c r="BD31" s="59" t="s">
        <v>189</v>
      </c>
      <c r="BE31" s="149"/>
      <c r="BF31" s="188"/>
      <c r="BG31" s="185" t="s">
        <v>211</v>
      </c>
      <c r="BH31" s="185"/>
      <c r="BI31" s="59"/>
      <c r="BJ31" s="149"/>
      <c r="BK31" s="188"/>
      <c r="BL31" s="185" t="s">
        <v>188</v>
      </c>
      <c r="BM31" s="185" t="s">
        <v>187</v>
      </c>
      <c r="BN31" s="186" t="s">
        <v>189</v>
      </c>
      <c r="BO31" s="149"/>
      <c r="BP31" s="188"/>
      <c r="BQ31" s="185" t="s">
        <v>211</v>
      </c>
      <c r="BR31" s="185"/>
      <c r="BS31" s="59"/>
      <c r="BT31" s="149"/>
      <c r="BU31" s="188"/>
      <c r="BV31" s="185" t="s">
        <v>212</v>
      </c>
      <c r="BW31" s="185" t="s">
        <v>212</v>
      </c>
      <c r="BX31" s="185" t="s">
        <v>212</v>
      </c>
      <c r="BY31" s="278" t="s">
        <v>264</v>
      </c>
      <c r="BZ31" s="188"/>
      <c r="CA31" s="185" t="s">
        <v>187</v>
      </c>
      <c r="CB31" s="185" t="s">
        <v>189</v>
      </c>
      <c r="CC31" s="185" t="s">
        <v>212</v>
      </c>
      <c r="CD31" s="284"/>
      <c r="CE31" s="188"/>
      <c r="CF31" s="185" t="s">
        <v>189</v>
      </c>
      <c r="CG31" s="185" t="s">
        <v>189</v>
      </c>
      <c r="CH31" s="185" t="s">
        <v>189</v>
      </c>
      <c r="CI31" s="278"/>
      <c r="CJ31" s="466"/>
    </row>
    <row r="32" spans="2:88" ht="17">
      <c r="B32" s="35" t="s">
        <v>38</v>
      </c>
      <c r="C32" s="35" t="s">
        <v>52</v>
      </c>
      <c r="D32" s="185" t="s">
        <v>188</v>
      </c>
      <c r="E32" s="186" t="s">
        <v>189</v>
      </c>
      <c r="F32" s="59" t="s">
        <v>189</v>
      </c>
      <c r="G32" s="149" t="s">
        <v>287</v>
      </c>
      <c r="H32" s="188"/>
      <c r="I32" s="185" t="s">
        <v>189</v>
      </c>
      <c r="J32" s="185" t="s">
        <v>189</v>
      </c>
      <c r="K32" s="186" t="s">
        <v>189</v>
      </c>
      <c r="L32" s="149" t="s">
        <v>315</v>
      </c>
      <c r="M32" s="317" t="s">
        <v>316</v>
      </c>
      <c r="N32" s="185" t="s">
        <v>188</v>
      </c>
      <c r="O32" s="185" t="s">
        <v>187</v>
      </c>
      <c r="P32" s="59" t="s">
        <v>189</v>
      </c>
      <c r="Q32" s="149" t="s">
        <v>295</v>
      </c>
      <c r="R32" s="439"/>
      <c r="S32" s="185" t="s">
        <v>188</v>
      </c>
      <c r="T32" s="185" t="s">
        <v>187</v>
      </c>
      <c r="U32" s="59" t="s">
        <v>189</v>
      </c>
      <c r="V32" s="149" t="s">
        <v>295</v>
      </c>
      <c r="W32" s="439"/>
      <c r="X32" s="185" t="s">
        <v>187</v>
      </c>
      <c r="Y32" s="185" t="s">
        <v>212</v>
      </c>
      <c r="Z32" s="185" t="s">
        <v>213</v>
      </c>
      <c r="AA32" s="149"/>
      <c r="AB32" s="188"/>
      <c r="AC32" s="185" t="s">
        <v>189</v>
      </c>
      <c r="AD32" s="186" t="s">
        <v>189</v>
      </c>
      <c r="AE32" s="186" t="s">
        <v>189</v>
      </c>
      <c r="AF32" s="149"/>
      <c r="AG32" s="188"/>
      <c r="AH32" s="185" t="s">
        <v>189</v>
      </c>
      <c r="AI32" s="185" t="s">
        <v>189</v>
      </c>
      <c r="AJ32" s="185" t="s">
        <v>189</v>
      </c>
      <c r="AK32" s="299"/>
      <c r="AL32" s="188"/>
      <c r="AM32" s="185" t="s">
        <v>189</v>
      </c>
      <c r="AN32" s="185" t="s">
        <v>189</v>
      </c>
      <c r="AO32" s="185" t="s">
        <v>189</v>
      </c>
      <c r="AP32" s="299"/>
      <c r="AQ32" s="188"/>
      <c r="AR32" s="185" t="s">
        <v>187</v>
      </c>
      <c r="AS32" s="185" t="s">
        <v>187</v>
      </c>
      <c r="AT32" s="59" t="s">
        <v>189</v>
      </c>
      <c r="AU32" s="149"/>
      <c r="AV32" s="188"/>
      <c r="AW32" s="185" t="s">
        <v>187</v>
      </c>
      <c r="AX32" s="185" t="s">
        <v>187</v>
      </c>
      <c r="AY32" s="59" t="s">
        <v>189</v>
      </c>
      <c r="AZ32" s="149"/>
      <c r="BA32" s="188"/>
      <c r="BB32" s="185" t="s">
        <v>187</v>
      </c>
      <c r="BC32" s="186" t="s">
        <v>187</v>
      </c>
      <c r="BD32" s="59" t="s">
        <v>189</v>
      </c>
      <c r="BE32" s="149"/>
      <c r="BF32" s="188"/>
      <c r="BG32" s="185" t="s">
        <v>211</v>
      </c>
      <c r="BH32" s="185"/>
      <c r="BI32" s="59"/>
      <c r="BJ32" s="149"/>
      <c r="BK32" s="188"/>
      <c r="BL32" s="185" t="s">
        <v>188</v>
      </c>
      <c r="BM32" s="185" t="s">
        <v>187</v>
      </c>
      <c r="BN32" s="186" t="s">
        <v>189</v>
      </c>
      <c r="BO32" s="149"/>
      <c r="BP32" s="188"/>
      <c r="BQ32" s="185" t="s">
        <v>211</v>
      </c>
      <c r="BR32" s="185"/>
      <c r="BS32" s="59"/>
      <c r="BT32" s="149"/>
      <c r="BU32" s="188"/>
      <c r="BV32" s="185" t="s">
        <v>212</v>
      </c>
      <c r="BW32" s="185" t="s">
        <v>212</v>
      </c>
      <c r="BX32" s="185" t="s">
        <v>212</v>
      </c>
      <c r="BY32" s="278" t="s">
        <v>264</v>
      </c>
      <c r="BZ32" s="188"/>
      <c r="CA32" s="185" t="s">
        <v>187</v>
      </c>
      <c r="CB32" s="185" t="s">
        <v>189</v>
      </c>
      <c r="CC32" s="185" t="s">
        <v>212</v>
      </c>
      <c r="CD32" s="284"/>
      <c r="CE32" s="188"/>
      <c r="CF32" s="185" t="s">
        <v>189</v>
      </c>
      <c r="CG32" s="185" t="s">
        <v>189</v>
      </c>
      <c r="CH32" s="185" t="s">
        <v>189</v>
      </c>
      <c r="CI32" s="278"/>
      <c r="CJ32" s="467"/>
    </row>
    <row r="33" spans="2:88" ht="112.5" customHeight="1">
      <c r="B33" s="35" t="s">
        <v>54</v>
      </c>
      <c r="C33" s="291" t="s">
        <v>56</v>
      </c>
      <c r="D33" s="185" t="s">
        <v>188</v>
      </c>
      <c r="E33" s="186" t="s">
        <v>189</v>
      </c>
      <c r="F33" s="59" t="s">
        <v>189</v>
      </c>
      <c r="G33" s="149" t="s">
        <v>317</v>
      </c>
      <c r="H33" s="184"/>
      <c r="I33" s="185" t="s">
        <v>188</v>
      </c>
      <c r="J33" s="185" t="s">
        <v>187</v>
      </c>
      <c r="K33" s="59" t="s">
        <v>189</v>
      </c>
      <c r="L33" s="149" t="s">
        <v>295</v>
      </c>
      <c r="M33" s="434" t="s">
        <v>318</v>
      </c>
      <c r="N33" s="185" t="s">
        <v>188</v>
      </c>
      <c r="O33" s="185" t="s">
        <v>187</v>
      </c>
      <c r="P33" s="59" t="s">
        <v>189</v>
      </c>
      <c r="Q33" s="149" t="s">
        <v>295</v>
      </c>
      <c r="R33" s="440" t="s">
        <v>319</v>
      </c>
      <c r="S33" s="185" t="s">
        <v>188</v>
      </c>
      <c r="T33" s="185" t="s">
        <v>187</v>
      </c>
      <c r="U33" s="59" t="s">
        <v>189</v>
      </c>
      <c r="V33" s="149" t="s">
        <v>295</v>
      </c>
      <c r="W33" s="440" t="s">
        <v>320</v>
      </c>
      <c r="X33" s="185" t="s">
        <v>187</v>
      </c>
      <c r="Y33" s="59" t="s">
        <v>189</v>
      </c>
      <c r="Z33" s="185" t="s">
        <v>213</v>
      </c>
      <c r="AA33" s="149"/>
      <c r="AB33" s="184"/>
      <c r="AC33" s="185" t="s">
        <v>187</v>
      </c>
      <c r="AD33" s="185" t="s">
        <v>187</v>
      </c>
      <c r="AE33" s="186" t="s">
        <v>189</v>
      </c>
      <c r="AF33" s="149"/>
      <c r="AG33" s="184"/>
      <c r="AH33" s="185" t="s">
        <v>187</v>
      </c>
      <c r="AI33" s="185" t="s">
        <v>187</v>
      </c>
      <c r="AJ33" s="186" t="s">
        <v>189</v>
      </c>
      <c r="AK33" s="299"/>
      <c r="AL33" s="184"/>
      <c r="AM33" s="185" t="s">
        <v>187</v>
      </c>
      <c r="AN33" s="185" t="s">
        <v>187</v>
      </c>
      <c r="AO33" s="186" t="s">
        <v>189</v>
      </c>
      <c r="AP33" s="149" t="s">
        <v>321</v>
      </c>
      <c r="AQ33" s="184"/>
      <c r="AR33" s="185" t="s">
        <v>187</v>
      </c>
      <c r="AS33" s="185" t="s">
        <v>187</v>
      </c>
      <c r="AT33" s="59" t="s">
        <v>189</v>
      </c>
      <c r="AV33" s="184"/>
      <c r="AW33" s="185" t="s">
        <v>187</v>
      </c>
      <c r="AX33" s="185" t="s">
        <v>187</v>
      </c>
      <c r="AY33" s="185" t="s">
        <v>187</v>
      </c>
      <c r="AZ33" s="149"/>
      <c r="BA33" s="184"/>
      <c r="BB33" s="185" t="s">
        <v>187</v>
      </c>
      <c r="BC33" s="186" t="s">
        <v>187</v>
      </c>
      <c r="BD33" s="59" t="s">
        <v>189</v>
      </c>
      <c r="BE33" s="149"/>
      <c r="BF33" s="184"/>
      <c r="BG33" s="185" t="s">
        <v>187</v>
      </c>
      <c r="BH33" s="185"/>
      <c r="BI33" s="59"/>
      <c r="BJ33" s="149"/>
      <c r="BK33" s="184"/>
      <c r="BL33" s="185" t="s">
        <v>187</v>
      </c>
      <c r="BM33" s="185" t="s">
        <v>187</v>
      </c>
      <c r="BN33" s="186" t="s">
        <v>189</v>
      </c>
      <c r="BO33" s="149"/>
      <c r="BP33" s="184"/>
      <c r="BQ33" s="185" t="s">
        <v>211</v>
      </c>
      <c r="BR33" s="185"/>
      <c r="BS33" s="59"/>
      <c r="BT33" s="149"/>
      <c r="BU33" s="184"/>
      <c r="BV33" s="185" t="s">
        <v>212</v>
      </c>
      <c r="BW33" s="185" t="s">
        <v>212</v>
      </c>
      <c r="BX33" s="185" t="s">
        <v>212</v>
      </c>
      <c r="BY33" s="278" t="s">
        <v>264</v>
      </c>
      <c r="BZ33" s="283"/>
      <c r="CA33" s="185" t="s">
        <v>187</v>
      </c>
      <c r="CB33" s="185" t="s">
        <v>187</v>
      </c>
      <c r="CC33" s="185" t="s">
        <v>212</v>
      </c>
      <c r="CD33" s="284"/>
      <c r="CE33" s="283"/>
      <c r="CF33" s="185" t="s">
        <v>187</v>
      </c>
      <c r="CG33" s="185" t="s">
        <v>187</v>
      </c>
      <c r="CH33" s="185" t="s">
        <v>187</v>
      </c>
      <c r="CI33" s="278"/>
      <c r="CJ33" s="468" t="s">
        <v>322</v>
      </c>
    </row>
    <row r="34" spans="2:88" ht="356">
      <c r="B34" s="35" t="s">
        <v>54</v>
      </c>
      <c r="C34" s="291" t="s">
        <v>58</v>
      </c>
      <c r="D34" s="185" t="s">
        <v>188</v>
      </c>
      <c r="E34" s="186" t="s">
        <v>189</v>
      </c>
      <c r="F34" s="59" t="s">
        <v>189</v>
      </c>
      <c r="G34" s="149" t="s">
        <v>317</v>
      </c>
      <c r="H34" s="184"/>
      <c r="I34" s="185" t="s">
        <v>188</v>
      </c>
      <c r="J34" s="185" t="s">
        <v>187</v>
      </c>
      <c r="K34" s="59" t="s">
        <v>189</v>
      </c>
      <c r="L34" s="149" t="s">
        <v>295</v>
      </c>
      <c r="M34" s="435"/>
      <c r="N34" s="185" t="s">
        <v>188</v>
      </c>
      <c r="O34" s="185" t="s">
        <v>187</v>
      </c>
      <c r="P34" s="59" t="s">
        <v>189</v>
      </c>
      <c r="Q34" s="149" t="s">
        <v>295</v>
      </c>
      <c r="R34" s="441"/>
      <c r="S34" s="185" t="s">
        <v>188</v>
      </c>
      <c r="T34" s="185" t="s">
        <v>187</v>
      </c>
      <c r="U34" s="59" t="s">
        <v>189</v>
      </c>
      <c r="V34" s="149" t="s">
        <v>295</v>
      </c>
      <c r="W34" s="441"/>
      <c r="X34" s="185" t="s">
        <v>187</v>
      </c>
      <c r="Y34" s="59" t="s">
        <v>189</v>
      </c>
      <c r="Z34" s="185" t="s">
        <v>213</v>
      </c>
      <c r="AA34" s="149"/>
      <c r="AB34" s="184"/>
      <c r="AC34" s="185" t="s">
        <v>187</v>
      </c>
      <c r="AD34" s="186" t="s">
        <v>187</v>
      </c>
      <c r="AE34" s="186" t="s">
        <v>189</v>
      </c>
      <c r="AF34" s="149"/>
      <c r="AG34" s="184"/>
      <c r="AH34" s="185" t="s">
        <v>187</v>
      </c>
      <c r="AI34" s="185" t="s">
        <v>187</v>
      </c>
      <c r="AJ34" s="186" t="s">
        <v>189</v>
      </c>
      <c r="AK34" s="299"/>
      <c r="AL34" s="184"/>
      <c r="AM34" s="185" t="s">
        <v>187</v>
      </c>
      <c r="AN34" s="185" t="s">
        <v>187</v>
      </c>
      <c r="AO34" s="186" t="s">
        <v>189</v>
      </c>
      <c r="AP34" s="32" t="s">
        <v>323</v>
      </c>
      <c r="AQ34" s="184"/>
      <c r="AR34" s="185" t="s">
        <v>187</v>
      </c>
      <c r="AS34" s="185" t="s">
        <v>187</v>
      </c>
      <c r="AT34" s="59" t="s">
        <v>189</v>
      </c>
      <c r="AU34" s="149"/>
      <c r="AV34" s="184"/>
      <c r="AW34" s="185" t="s">
        <v>187</v>
      </c>
      <c r="AX34" s="185" t="s">
        <v>187</v>
      </c>
      <c r="AY34" s="185" t="s">
        <v>187</v>
      </c>
      <c r="AZ34" s="149"/>
      <c r="BA34" s="184"/>
      <c r="BB34" s="185" t="s">
        <v>187</v>
      </c>
      <c r="BC34" s="186" t="s">
        <v>187</v>
      </c>
      <c r="BD34" s="59" t="s">
        <v>189</v>
      </c>
      <c r="BE34" s="149"/>
      <c r="BF34" s="184"/>
      <c r="BG34" s="185" t="s">
        <v>187</v>
      </c>
      <c r="BH34" s="185"/>
      <c r="BI34" s="59"/>
      <c r="BJ34" s="149"/>
      <c r="BK34" s="184"/>
      <c r="BL34" s="185" t="s">
        <v>187</v>
      </c>
      <c r="BM34" s="185" t="s">
        <v>187</v>
      </c>
      <c r="BN34" s="186" t="s">
        <v>189</v>
      </c>
      <c r="BO34" s="149"/>
      <c r="BP34" s="184"/>
      <c r="BQ34" s="185" t="s">
        <v>211</v>
      </c>
      <c r="BR34" s="185"/>
      <c r="BS34" s="59"/>
      <c r="BT34" s="149"/>
      <c r="BU34" s="184"/>
      <c r="BV34" s="185" t="s">
        <v>212</v>
      </c>
      <c r="BW34" s="185" t="s">
        <v>212</v>
      </c>
      <c r="BX34" s="185" t="s">
        <v>212</v>
      </c>
      <c r="BY34" s="278" t="s">
        <v>264</v>
      </c>
      <c r="BZ34" s="283"/>
      <c r="CA34" s="185" t="s">
        <v>187</v>
      </c>
      <c r="CB34" s="185" t="s">
        <v>187</v>
      </c>
      <c r="CC34" s="185" t="s">
        <v>212</v>
      </c>
      <c r="CD34" s="284"/>
      <c r="CE34" s="283"/>
      <c r="CF34" s="185" t="s">
        <v>187</v>
      </c>
      <c r="CG34" s="185" t="s">
        <v>187</v>
      </c>
      <c r="CH34" s="185" t="s">
        <v>187</v>
      </c>
      <c r="CI34" s="278"/>
      <c r="CJ34" s="471"/>
    </row>
    <row r="35" spans="2:88" ht="204">
      <c r="B35" s="35" t="s">
        <v>54</v>
      </c>
      <c r="C35" s="291" t="s">
        <v>60</v>
      </c>
      <c r="D35" s="185" t="s">
        <v>188</v>
      </c>
      <c r="E35" s="186" t="s">
        <v>189</v>
      </c>
      <c r="F35" s="59" t="s">
        <v>189</v>
      </c>
      <c r="G35" s="32" t="s">
        <v>324</v>
      </c>
      <c r="H35" s="188"/>
      <c r="I35" s="185" t="s">
        <v>189</v>
      </c>
      <c r="J35" s="185" t="s">
        <v>189</v>
      </c>
      <c r="K35" s="185" t="s">
        <v>189</v>
      </c>
      <c r="L35" s="149"/>
      <c r="M35" s="435"/>
      <c r="N35" s="185" t="s">
        <v>189</v>
      </c>
      <c r="O35" s="185" t="s">
        <v>189</v>
      </c>
      <c r="P35" s="185" t="s">
        <v>189</v>
      </c>
      <c r="Q35" s="149"/>
      <c r="R35" s="441"/>
      <c r="S35" s="185" t="s">
        <v>189</v>
      </c>
      <c r="T35" s="185" t="s">
        <v>189</v>
      </c>
      <c r="U35" s="185" t="s">
        <v>189</v>
      </c>
      <c r="V35" s="149"/>
      <c r="W35" s="441"/>
      <c r="X35" s="185" t="s">
        <v>187</v>
      </c>
      <c r="Y35" s="59" t="s">
        <v>189</v>
      </c>
      <c r="Z35" s="185" t="s">
        <v>213</v>
      </c>
      <c r="AA35" s="149"/>
      <c r="AB35" s="188"/>
      <c r="AC35" s="185" t="s">
        <v>187</v>
      </c>
      <c r="AD35" s="186" t="s">
        <v>189</v>
      </c>
      <c r="AE35" s="186" t="s">
        <v>189</v>
      </c>
      <c r="AF35" s="149"/>
      <c r="AG35" s="188"/>
      <c r="AH35" s="185" t="s">
        <v>187</v>
      </c>
      <c r="AI35" s="185" t="s">
        <v>187</v>
      </c>
      <c r="AJ35" s="186" t="s">
        <v>189</v>
      </c>
      <c r="AK35" s="299"/>
      <c r="AL35" s="188"/>
      <c r="AM35" s="185" t="s">
        <v>187</v>
      </c>
      <c r="AN35" s="185" t="s">
        <v>187</v>
      </c>
      <c r="AO35" s="186" t="s">
        <v>189</v>
      </c>
      <c r="AP35" s="149" t="s">
        <v>325</v>
      </c>
      <c r="AQ35" s="188"/>
      <c r="AR35" s="185" t="s">
        <v>189</v>
      </c>
      <c r="AS35" s="185" t="s">
        <v>189</v>
      </c>
      <c r="AT35" s="59" t="s">
        <v>189</v>
      </c>
      <c r="AU35" s="149"/>
      <c r="AV35" s="188"/>
      <c r="AW35" s="185" t="s">
        <v>187</v>
      </c>
      <c r="AX35" s="185" t="s">
        <v>187</v>
      </c>
      <c r="AY35" s="185" t="s">
        <v>189</v>
      </c>
      <c r="AZ35" s="149"/>
      <c r="BA35" s="188"/>
      <c r="BB35" s="185" t="s">
        <v>187</v>
      </c>
      <c r="BC35" s="186" t="s">
        <v>187</v>
      </c>
      <c r="BD35" s="59" t="s">
        <v>189</v>
      </c>
      <c r="BE35" s="149"/>
      <c r="BF35" s="188"/>
      <c r="BG35" s="185" t="s">
        <v>211</v>
      </c>
      <c r="BH35" s="185"/>
      <c r="BI35" s="185"/>
      <c r="BJ35" s="149"/>
      <c r="BK35" s="188"/>
      <c r="BL35" s="185" t="s">
        <v>187</v>
      </c>
      <c r="BM35" s="185" t="s">
        <v>189</v>
      </c>
      <c r="BN35" s="186" t="s">
        <v>189</v>
      </c>
      <c r="BO35" s="149"/>
      <c r="BP35" s="188"/>
      <c r="BQ35" s="185" t="s">
        <v>211</v>
      </c>
      <c r="BR35" s="185"/>
      <c r="BS35" s="185"/>
      <c r="BT35" s="149"/>
      <c r="BU35" s="188"/>
      <c r="BV35" s="185" t="s">
        <v>212</v>
      </c>
      <c r="BW35" s="185" t="s">
        <v>212</v>
      </c>
      <c r="BX35" s="185" t="s">
        <v>212</v>
      </c>
      <c r="BY35" s="278" t="s">
        <v>264</v>
      </c>
      <c r="BZ35" s="188"/>
      <c r="CA35" s="185" t="s">
        <v>187</v>
      </c>
      <c r="CB35" s="185" t="s">
        <v>187</v>
      </c>
      <c r="CC35" s="185" t="s">
        <v>212</v>
      </c>
      <c r="CD35" s="284"/>
      <c r="CE35" s="188"/>
      <c r="CF35" s="185" t="s">
        <v>187</v>
      </c>
      <c r="CG35" s="185" t="s">
        <v>187</v>
      </c>
      <c r="CH35" s="185" t="s">
        <v>187</v>
      </c>
      <c r="CI35" s="278"/>
      <c r="CJ35" s="471"/>
    </row>
    <row r="36" spans="2:88" ht="18.75" customHeight="1">
      <c r="B36" s="35" t="s">
        <v>54</v>
      </c>
      <c r="C36" s="293" t="s">
        <v>62</v>
      </c>
      <c r="D36" s="185" t="s">
        <v>188</v>
      </c>
      <c r="E36" s="186" t="s">
        <v>189</v>
      </c>
      <c r="F36" s="59" t="s">
        <v>189</v>
      </c>
      <c r="G36" s="32" t="s">
        <v>326</v>
      </c>
      <c r="H36" s="184"/>
      <c r="I36" s="185" t="s">
        <v>188</v>
      </c>
      <c r="J36" s="186" t="s">
        <v>189</v>
      </c>
      <c r="K36" s="59" t="s">
        <v>189</v>
      </c>
      <c r="L36" s="149" t="s">
        <v>291</v>
      </c>
      <c r="M36" s="435"/>
      <c r="N36" s="185" t="s">
        <v>188</v>
      </c>
      <c r="O36" s="186" t="s">
        <v>189</v>
      </c>
      <c r="P36" s="59" t="s">
        <v>189</v>
      </c>
      <c r="Q36" s="149" t="s">
        <v>291</v>
      </c>
      <c r="R36" s="441"/>
      <c r="S36" s="185" t="s">
        <v>188</v>
      </c>
      <c r="T36" s="186" t="s">
        <v>189</v>
      </c>
      <c r="U36" s="59" t="s">
        <v>189</v>
      </c>
      <c r="V36" s="149" t="s">
        <v>291</v>
      </c>
      <c r="W36" s="441"/>
      <c r="X36" s="185" t="s">
        <v>187</v>
      </c>
      <c r="Y36" s="59" t="s">
        <v>189</v>
      </c>
      <c r="Z36" s="185" t="s">
        <v>213</v>
      </c>
      <c r="AA36" s="149"/>
      <c r="AB36" s="184"/>
      <c r="AC36" s="185" t="s">
        <v>187</v>
      </c>
      <c r="AD36" s="186" t="s">
        <v>189</v>
      </c>
      <c r="AE36" s="186" t="s">
        <v>189</v>
      </c>
      <c r="AF36" s="149"/>
      <c r="AG36" s="184"/>
      <c r="AH36" s="185" t="s">
        <v>189</v>
      </c>
      <c r="AI36" s="185" t="s">
        <v>189</v>
      </c>
      <c r="AJ36" s="186" t="s">
        <v>189</v>
      </c>
      <c r="AK36" s="299" t="s">
        <v>327</v>
      </c>
      <c r="AL36" s="184"/>
      <c r="AM36" s="185" t="s">
        <v>189</v>
      </c>
      <c r="AN36" s="185" t="s">
        <v>189</v>
      </c>
      <c r="AO36" s="186" t="s">
        <v>189</v>
      </c>
      <c r="AP36" s="149" t="s">
        <v>328</v>
      </c>
      <c r="AQ36" s="184"/>
      <c r="AR36" s="185" t="s">
        <v>189</v>
      </c>
      <c r="AS36" s="186" t="s">
        <v>189</v>
      </c>
      <c r="AT36" s="186" t="s">
        <v>189</v>
      </c>
      <c r="AU36" s="149"/>
      <c r="AV36" s="184"/>
      <c r="AW36" s="185" t="s">
        <v>187</v>
      </c>
      <c r="AX36" s="186" t="s">
        <v>189</v>
      </c>
      <c r="AY36" s="185" t="s">
        <v>187</v>
      </c>
      <c r="AZ36" s="149"/>
      <c r="BA36" s="184"/>
      <c r="BB36" s="185" t="s">
        <v>189</v>
      </c>
      <c r="BC36" s="186" t="s">
        <v>189</v>
      </c>
      <c r="BD36" s="59" t="s">
        <v>189</v>
      </c>
      <c r="BE36" s="149"/>
      <c r="BF36" s="184"/>
      <c r="BG36" s="185" t="s">
        <v>211</v>
      </c>
      <c r="BH36" s="186"/>
      <c r="BI36" s="186"/>
      <c r="BJ36" s="149"/>
      <c r="BK36" s="184"/>
      <c r="BL36" s="185" t="s">
        <v>188</v>
      </c>
      <c r="BM36" s="185" t="s">
        <v>187</v>
      </c>
      <c r="BN36" s="185" t="s">
        <v>187</v>
      </c>
      <c r="BO36" s="149"/>
      <c r="BP36" s="184"/>
      <c r="BQ36" s="185" t="s">
        <v>211</v>
      </c>
      <c r="BR36" s="186"/>
      <c r="BS36" s="186"/>
      <c r="BT36" s="149"/>
      <c r="BU36" s="184"/>
      <c r="BV36" s="185" t="s">
        <v>212</v>
      </c>
      <c r="BW36" s="185" t="s">
        <v>212</v>
      </c>
      <c r="BX36" s="185" t="s">
        <v>212</v>
      </c>
      <c r="BY36" s="278" t="s">
        <v>264</v>
      </c>
      <c r="BZ36" s="283"/>
      <c r="CA36" s="185" t="s">
        <v>187</v>
      </c>
      <c r="CB36" s="186" t="s">
        <v>187</v>
      </c>
      <c r="CC36" s="186"/>
      <c r="CD36" s="284"/>
      <c r="CE36" s="283"/>
      <c r="CF36" s="185" t="s">
        <v>187</v>
      </c>
      <c r="CG36" s="185" t="s">
        <v>187</v>
      </c>
      <c r="CH36" s="185" t="s">
        <v>187</v>
      </c>
      <c r="CI36" s="278"/>
      <c r="CJ36" s="471"/>
    </row>
    <row r="37" spans="2:88" ht="388">
      <c r="B37" s="35" t="s">
        <v>54</v>
      </c>
      <c r="C37" s="291" t="s">
        <v>64</v>
      </c>
      <c r="D37" s="185" t="s">
        <v>188</v>
      </c>
      <c r="E37" s="186" t="s">
        <v>189</v>
      </c>
      <c r="F37" s="59" t="s">
        <v>189</v>
      </c>
      <c r="G37" s="187" t="s">
        <v>329</v>
      </c>
      <c r="H37" s="188"/>
      <c r="I37" s="185" t="s">
        <v>188</v>
      </c>
      <c r="J37" s="186" t="s">
        <v>189</v>
      </c>
      <c r="K37" s="59" t="s">
        <v>189</v>
      </c>
      <c r="L37" s="149" t="s">
        <v>330</v>
      </c>
      <c r="M37" s="435"/>
      <c r="N37" s="185" t="s">
        <v>188</v>
      </c>
      <c r="O37" s="186" t="s">
        <v>189</v>
      </c>
      <c r="P37" s="59" t="s">
        <v>189</v>
      </c>
      <c r="Q37" s="149" t="s">
        <v>330</v>
      </c>
      <c r="R37" s="441"/>
      <c r="S37" s="185" t="s">
        <v>188</v>
      </c>
      <c r="T37" s="186" t="s">
        <v>189</v>
      </c>
      <c r="U37" s="59" t="s">
        <v>189</v>
      </c>
      <c r="V37" s="149" t="s">
        <v>330</v>
      </c>
      <c r="W37" s="441"/>
      <c r="X37" s="185" t="s">
        <v>187</v>
      </c>
      <c r="Y37" s="59" t="s">
        <v>189</v>
      </c>
      <c r="Z37" s="186" t="s">
        <v>189</v>
      </c>
      <c r="AA37" s="187"/>
      <c r="AB37" s="188"/>
      <c r="AC37" s="185" t="s">
        <v>187</v>
      </c>
      <c r="AD37" s="186" t="s">
        <v>187</v>
      </c>
      <c r="AE37" s="186" t="s">
        <v>189</v>
      </c>
      <c r="AF37" s="187"/>
      <c r="AG37" s="188"/>
      <c r="AH37" s="185" t="s">
        <v>187</v>
      </c>
      <c r="AI37" s="185" t="s">
        <v>189</v>
      </c>
      <c r="AJ37" s="185" t="s">
        <v>189</v>
      </c>
      <c r="AK37" s="297"/>
      <c r="AL37" s="188"/>
      <c r="AM37" s="185" t="s">
        <v>187</v>
      </c>
      <c r="AN37" s="185" t="s">
        <v>189</v>
      </c>
      <c r="AO37" s="185" t="s">
        <v>189</v>
      </c>
      <c r="AP37" s="187" t="s">
        <v>331</v>
      </c>
      <c r="AQ37" s="188"/>
      <c r="AR37" s="185" t="s">
        <v>189</v>
      </c>
      <c r="AS37" s="186" t="s">
        <v>189</v>
      </c>
      <c r="AT37" s="186" t="s">
        <v>189</v>
      </c>
      <c r="AU37" s="187"/>
      <c r="AV37" s="188"/>
      <c r="AW37" s="185" t="s">
        <v>187</v>
      </c>
      <c r="AX37" s="186" t="s">
        <v>187</v>
      </c>
      <c r="AY37" s="186" t="s">
        <v>187</v>
      </c>
      <c r="AZ37" s="187"/>
      <c r="BA37" s="188"/>
      <c r="BB37" s="185" t="s">
        <v>189</v>
      </c>
      <c r="BC37" s="186" t="s">
        <v>189</v>
      </c>
      <c r="BD37" s="59" t="s">
        <v>189</v>
      </c>
      <c r="BE37" s="187"/>
      <c r="BF37" s="188"/>
      <c r="BG37" s="185" t="s">
        <v>211</v>
      </c>
      <c r="BH37" s="186"/>
      <c r="BI37" s="186"/>
      <c r="BJ37" s="187"/>
      <c r="BK37" s="188"/>
      <c r="BL37" s="185" t="s">
        <v>188</v>
      </c>
      <c r="BM37" s="185" t="s">
        <v>187</v>
      </c>
      <c r="BN37" s="185" t="s">
        <v>187</v>
      </c>
      <c r="BO37" s="187"/>
      <c r="BP37" s="188"/>
      <c r="BQ37" s="185" t="s">
        <v>211</v>
      </c>
      <c r="BR37" s="186"/>
      <c r="BS37" s="186"/>
      <c r="BT37" s="187"/>
      <c r="BU37" s="188"/>
      <c r="BV37" s="185" t="s">
        <v>212</v>
      </c>
      <c r="BW37" s="185" t="s">
        <v>212</v>
      </c>
      <c r="BX37" s="185" t="s">
        <v>212</v>
      </c>
      <c r="BY37" s="278" t="s">
        <v>264</v>
      </c>
      <c r="BZ37" s="188"/>
      <c r="CA37" s="185" t="s">
        <v>187</v>
      </c>
      <c r="CB37" s="186" t="s">
        <v>187</v>
      </c>
      <c r="CC37" s="186" t="s">
        <v>212</v>
      </c>
      <c r="CD37" s="187"/>
      <c r="CE37" s="188"/>
      <c r="CF37" s="185" t="s">
        <v>187</v>
      </c>
      <c r="CG37" s="185" t="s">
        <v>187</v>
      </c>
      <c r="CH37" s="185" t="s">
        <v>187</v>
      </c>
      <c r="CI37" s="278"/>
      <c r="CJ37" s="471"/>
    </row>
    <row r="38" spans="2:88" ht="17.25" customHeight="1">
      <c r="B38" s="35" t="s">
        <v>54</v>
      </c>
      <c r="C38" s="291" t="s">
        <v>66</v>
      </c>
      <c r="D38" s="185" t="s">
        <v>211</v>
      </c>
      <c r="E38" s="186" t="s">
        <v>189</v>
      </c>
      <c r="F38" s="59" t="s">
        <v>189</v>
      </c>
      <c r="G38" s="32" t="s">
        <v>324</v>
      </c>
      <c r="H38" s="188"/>
      <c r="I38" s="185" t="s">
        <v>188</v>
      </c>
      <c r="J38" s="186" t="s">
        <v>189</v>
      </c>
      <c r="K38" s="59" t="s">
        <v>189</v>
      </c>
      <c r="L38" s="149" t="s">
        <v>330</v>
      </c>
      <c r="M38" s="435"/>
      <c r="N38" s="185" t="s">
        <v>188</v>
      </c>
      <c r="O38" s="186" t="s">
        <v>189</v>
      </c>
      <c r="P38" s="59" t="s">
        <v>189</v>
      </c>
      <c r="Q38" s="149" t="s">
        <v>330</v>
      </c>
      <c r="R38" s="441"/>
      <c r="S38" s="185" t="s">
        <v>188</v>
      </c>
      <c r="T38" s="186" t="s">
        <v>189</v>
      </c>
      <c r="U38" s="59" t="s">
        <v>189</v>
      </c>
      <c r="V38" s="149" t="s">
        <v>330</v>
      </c>
      <c r="W38" s="441"/>
      <c r="X38" s="185" t="s">
        <v>187</v>
      </c>
      <c r="Y38" s="59" t="s">
        <v>189</v>
      </c>
      <c r="Z38" s="186" t="s">
        <v>189</v>
      </c>
      <c r="AA38" s="149"/>
      <c r="AB38" s="188"/>
      <c r="AC38" s="185" t="s">
        <v>187</v>
      </c>
      <c r="AD38" s="186" t="s">
        <v>189</v>
      </c>
      <c r="AE38" s="186" t="s">
        <v>189</v>
      </c>
      <c r="AF38" s="149"/>
      <c r="AG38" s="188"/>
      <c r="AH38" s="185" t="s">
        <v>187</v>
      </c>
      <c r="AI38" s="185" t="s">
        <v>187</v>
      </c>
      <c r="AJ38" s="185" t="s">
        <v>187</v>
      </c>
      <c r="AK38" s="299"/>
      <c r="AL38" s="188"/>
      <c r="AM38" s="185" t="s">
        <v>187</v>
      </c>
      <c r="AN38" s="185" t="s">
        <v>187</v>
      </c>
      <c r="AO38" s="185" t="s">
        <v>187</v>
      </c>
      <c r="AP38" s="149" t="s">
        <v>332</v>
      </c>
      <c r="AQ38" s="188"/>
      <c r="AR38" s="185" t="s">
        <v>189</v>
      </c>
      <c r="AS38" s="186" t="s">
        <v>189</v>
      </c>
      <c r="AT38" s="186" t="s">
        <v>189</v>
      </c>
      <c r="AU38" s="149"/>
      <c r="AV38" s="188"/>
      <c r="AW38" s="185" t="s">
        <v>187</v>
      </c>
      <c r="AX38" s="185" t="s">
        <v>187</v>
      </c>
      <c r="AY38" s="186" t="s">
        <v>189</v>
      </c>
      <c r="AZ38" s="149"/>
      <c r="BA38" s="188"/>
      <c r="BB38" s="185" t="s">
        <v>187</v>
      </c>
      <c r="BC38" s="185" t="s">
        <v>187</v>
      </c>
      <c r="BD38" s="59" t="s">
        <v>189</v>
      </c>
      <c r="BE38" s="149"/>
      <c r="BF38" s="188"/>
      <c r="BG38" s="185" t="s">
        <v>211</v>
      </c>
      <c r="BH38" s="185"/>
      <c r="BI38" s="186"/>
      <c r="BJ38" s="149"/>
      <c r="BK38" s="188"/>
      <c r="BL38" s="185" t="s">
        <v>187</v>
      </c>
      <c r="BM38" s="185" t="s">
        <v>187</v>
      </c>
      <c r="BN38" s="185" t="s">
        <v>187</v>
      </c>
      <c r="BO38" s="149"/>
      <c r="BP38" s="188"/>
      <c r="BQ38" s="185" t="s">
        <v>211</v>
      </c>
      <c r="BR38" s="185"/>
      <c r="BS38" s="186"/>
      <c r="BT38" s="149"/>
      <c r="BU38" s="188"/>
      <c r="BV38" s="185" t="s">
        <v>212</v>
      </c>
      <c r="BW38" s="185" t="s">
        <v>212</v>
      </c>
      <c r="BX38" s="185" t="s">
        <v>212</v>
      </c>
      <c r="BY38" s="278" t="s">
        <v>264</v>
      </c>
      <c r="BZ38" s="188"/>
      <c r="CA38" s="185" t="s">
        <v>187</v>
      </c>
      <c r="CB38" s="186" t="s">
        <v>187</v>
      </c>
      <c r="CC38" s="186" t="s">
        <v>212</v>
      </c>
      <c r="CD38" s="284"/>
      <c r="CE38" s="188"/>
      <c r="CF38" s="185" t="s">
        <v>187</v>
      </c>
      <c r="CG38" s="185" t="s">
        <v>187</v>
      </c>
      <c r="CH38" s="185" t="s">
        <v>187</v>
      </c>
      <c r="CI38" s="278"/>
      <c r="CJ38" s="471"/>
    </row>
    <row r="39" spans="2:88" ht="18.75" customHeight="1">
      <c r="B39" s="129" t="s">
        <v>54</v>
      </c>
      <c r="C39" s="294" t="s">
        <v>68</v>
      </c>
      <c r="D39" s="185" t="s">
        <v>211</v>
      </c>
      <c r="E39" s="186" t="s">
        <v>189</v>
      </c>
      <c r="F39" s="59" t="s">
        <v>189</v>
      </c>
      <c r="G39" s="192" t="s">
        <v>333</v>
      </c>
      <c r="H39" s="188"/>
      <c r="I39" s="185" t="s">
        <v>189</v>
      </c>
      <c r="J39" s="185" t="s">
        <v>189</v>
      </c>
      <c r="K39" s="185" t="s">
        <v>189</v>
      </c>
      <c r="L39" s="149"/>
      <c r="M39" s="435"/>
      <c r="N39" s="185" t="s">
        <v>189</v>
      </c>
      <c r="O39" s="185" t="s">
        <v>189</v>
      </c>
      <c r="P39" s="185" t="s">
        <v>189</v>
      </c>
      <c r="Q39" s="149"/>
      <c r="R39" s="441"/>
      <c r="S39" s="185" t="s">
        <v>189</v>
      </c>
      <c r="T39" s="185" t="s">
        <v>189</v>
      </c>
      <c r="U39" s="185" t="s">
        <v>189</v>
      </c>
      <c r="V39" s="149"/>
      <c r="W39" s="441"/>
      <c r="X39" s="185" t="s">
        <v>187</v>
      </c>
      <c r="Y39" s="185" t="s">
        <v>187</v>
      </c>
      <c r="Z39" s="185" t="s">
        <v>212</v>
      </c>
      <c r="AA39" s="149"/>
      <c r="AB39" s="188"/>
      <c r="AC39" s="185" t="s">
        <v>187</v>
      </c>
      <c r="AD39" s="186" t="s">
        <v>189</v>
      </c>
      <c r="AE39" s="186" t="s">
        <v>189</v>
      </c>
      <c r="AF39" s="149"/>
      <c r="AG39" s="188"/>
      <c r="AH39" s="185" t="s">
        <v>187</v>
      </c>
      <c r="AI39" s="185" t="s">
        <v>187</v>
      </c>
      <c r="AJ39" s="185" t="s">
        <v>187</v>
      </c>
      <c r="AK39" s="299"/>
      <c r="AL39" s="188"/>
      <c r="AM39" s="185" t="s">
        <v>187</v>
      </c>
      <c r="AN39" s="185" t="s">
        <v>187</v>
      </c>
      <c r="AO39" s="185" t="s">
        <v>187</v>
      </c>
      <c r="AP39" s="299"/>
      <c r="AQ39" s="188"/>
      <c r="AR39" s="185" t="s">
        <v>189</v>
      </c>
      <c r="AS39" s="186" t="s">
        <v>189</v>
      </c>
      <c r="AT39" s="186" t="s">
        <v>189</v>
      </c>
      <c r="AU39" s="149"/>
      <c r="AV39" s="188"/>
      <c r="AW39" s="185" t="s">
        <v>212</v>
      </c>
      <c r="AX39" s="185" t="s">
        <v>212</v>
      </c>
      <c r="AY39" s="185" t="s">
        <v>212</v>
      </c>
      <c r="AZ39" s="149"/>
      <c r="BA39" s="188"/>
      <c r="BB39" s="185" t="s">
        <v>189</v>
      </c>
      <c r="BC39" s="185" t="s">
        <v>189</v>
      </c>
      <c r="BD39" s="59" t="s">
        <v>189</v>
      </c>
      <c r="BE39" s="149"/>
      <c r="BF39" s="188"/>
      <c r="BG39" s="185" t="s">
        <v>211</v>
      </c>
      <c r="BH39" s="185"/>
      <c r="BI39" s="185"/>
      <c r="BJ39" s="149"/>
      <c r="BK39" s="188"/>
      <c r="BL39" s="185" t="s">
        <v>189</v>
      </c>
      <c r="BM39" s="185" t="s">
        <v>189</v>
      </c>
      <c r="BN39" s="185" t="s">
        <v>189</v>
      </c>
      <c r="BO39" s="149"/>
      <c r="BP39" s="188"/>
      <c r="BQ39" s="185" t="s">
        <v>211</v>
      </c>
      <c r="BR39" s="185"/>
      <c r="BS39" s="185"/>
      <c r="BT39" s="149"/>
      <c r="BU39" s="188"/>
      <c r="BV39" s="185" t="s">
        <v>212</v>
      </c>
      <c r="BW39" s="185" t="s">
        <v>212</v>
      </c>
      <c r="BX39" s="185" t="s">
        <v>212</v>
      </c>
      <c r="BY39" s="278" t="s">
        <v>264</v>
      </c>
      <c r="BZ39" s="188"/>
      <c r="CA39" s="185" t="s">
        <v>187</v>
      </c>
      <c r="CB39" s="185" t="s">
        <v>212</v>
      </c>
      <c r="CC39" s="185" t="s">
        <v>212</v>
      </c>
      <c r="CD39" s="284" t="s">
        <v>334</v>
      </c>
      <c r="CE39" s="188"/>
      <c r="CF39" s="185" t="s">
        <v>187</v>
      </c>
      <c r="CG39" s="185"/>
      <c r="CH39" s="185"/>
      <c r="CI39" s="278" t="s">
        <v>335</v>
      </c>
      <c r="CJ39" s="471" t="s">
        <v>336</v>
      </c>
    </row>
    <row r="40" spans="2:88" ht="17">
      <c r="B40" s="129" t="s">
        <v>54</v>
      </c>
      <c r="C40" s="294" t="s">
        <v>70</v>
      </c>
      <c r="D40" s="185" t="s">
        <v>211</v>
      </c>
      <c r="E40" s="186" t="s">
        <v>189</v>
      </c>
      <c r="F40" s="59" t="s">
        <v>189</v>
      </c>
      <c r="G40" s="192" t="s">
        <v>333</v>
      </c>
      <c r="H40" s="188"/>
      <c r="I40" s="185" t="s">
        <v>189</v>
      </c>
      <c r="J40" s="185" t="s">
        <v>189</v>
      </c>
      <c r="K40" s="185" t="s">
        <v>189</v>
      </c>
      <c r="L40" s="187"/>
      <c r="M40" s="435"/>
      <c r="N40" s="185" t="s">
        <v>189</v>
      </c>
      <c r="O40" s="185" t="s">
        <v>189</v>
      </c>
      <c r="P40" s="185" t="s">
        <v>189</v>
      </c>
      <c r="Q40" s="187"/>
      <c r="R40" s="441"/>
      <c r="S40" s="185" t="s">
        <v>189</v>
      </c>
      <c r="T40" s="185" t="s">
        <v>189</v>
      </c>
      <c r="U40" s="185" t="s">
        <v>189</v>
      </c>
      <c r="V40" s="187"/>
      <c r="W40" s="441"/>
      <c r="X40" s="185" t="s">
        <v>187</v>
      </c>
      <c r="Y40" s="185" t="s">
        <v>187</v>
      </c>
      <c r="Z40" s="185" t="s">
        <v>212</v>
      </c>
      <c r="AA40" s="187"/>
      <c r="AB40" s="188"/>
      <c r="AC40" s="185" t="s">
        <v>187</v>
      </c>
      <c r="AD40" s="186" t="s">
        <v>189</v>
      </c>
      <c r="AE40" s="186" t="s">
        <v>189</v>
      </c>
      <c r="AF40" s="187"/>
      <c r="AG40" s="188"/>
      <c r="AH40" s="185" t="s">
        <v>187</v>
      </c>
      <c r="AI40" s="185" t="s">
        <v>187</v>
      </c>
      <c r="AJ40" s="185" t="s">
        <v>187</v>
      </c>
      <c r="AK40" s="297"/>
      <c r="AL40" s="188"/>
      <c r="AM40" s="185" t="s">
        <v>187</v>
      </c>
      <c r="AN40" s="185" t="s">
        <v>187</v>
      </c>
      <c r="AO40" s="185" t="s">
        <v>187</v>
      </c>
      <c r="AP40" s="297"/>
      <c r="AQ40" s="188"/>
      <c r="AR40" s="185" t="s">
        <v>189</v>
      </c>
      <c r="AS40" s="186" t="s">
        <v>189</v>
      </c>
      <c r="AT40" s="186" t="s">
        <v>189</v>
      </c>
      <c r="AU40" s="187"/>
      <c r="AV40" s="188"/>
      <c r="AW40" s="185" t="s">
        <v>212</v>
      </c>
      <c r="AX40" s="185" t="s">
        <v>212</v>
      </c>
      <c r="AY40" s="185" t="s">
        <v>212</v>
      </c>
      <c r="AZ40" s="187"/>
      <c r="BA40" s="188"/>
      <c r="BB40" s="185" t="s">
        <v>189</v>
      </c>
      <c r="BC40" s="185" t="s">
        <v>189</v>
      </c>
      <c r="BD40" s="59" t="s">
        <v>189</v>
      </c>
      <c r="BE40" s="187"/>
      <c r="BF40" s="188"/>
      <c r="BG40" s="185" t="s">
        <v>211</v>
      </c>
      <c r="BH40" s="185"/>
      <c r="BI40" s="185"/>
      <c r="BJ40" s="187"/>
      <c r="BK40" s="188"/>
      <c r="BL40" s="185" t="s">
        <v>189</v>
      </c>
      <c r="BM40" s="185" t="s">
        <v>189</v>
      </c>
      <c r="BN40" s="185" t="s">
        <v>189</v>
      </c>
      <c r="BO40" s="187"/>
      <c r="BP40" s="188"/>
      <c r="BQ40" s="185" t="s">
        <v>211</v>
      </c>
      <c r="BR40" s="185"/>
      <c r="BS40" s="185"/>
      <c r="BT40" s="187"/>
      <c r="BU40" s="188"/>
      <c r="BV40" s="185" t="s">
        <v>212</v>
      </c>
      <c r="BW40" s="185" t="s">
        <v>212</v>
      </c>
      <c r="BX40" s="185" t="s">
        <v>212</v>
      </c>
      <c r="BY40" s="278" t="s">
        <v>264</v>
      </c>
      <c r="BZ40" s="188"/>
      <c r="CA40" s="185" t="s">
        <v>189</v>
      </c>
      <c r="CB40" s="185" t="s">
        <v>212</v>
      </c>
      <c r="CC40" s="185" t="s">
        <v>212</v>
      </c>
      <c r="CD40" s="187"/>
      <c r="CE40" s="188"/>
      <c r="CF40" s="185" t="s">
        <v>189</v>
      </c>
      <c r="CG40" s="185"/>
      <c r="CH40" s="185"/>
      <c r="CI40" s="278"/>
      <c r="CJ40" s="471"/>
    </row>
    <row r="41" spans="2:88" ht="17">
      <c r="B41" s="129" t="s">
        <v>54</v>
      </c>
      <c r="C41" s="294" t="s">
        <v>72</v>
      </c>
      <c r="D41" s="185" t="s">
        <v>211</v>
      </c>
      <c r="E41" s="186" t="s">
        <v>189</v>
      </c>
      <c r="F41" s="59" t="s">
        <v>189</v>
      </c>
      <c r="G41" s="192" t="s">
        <v>333</v>
      </c>
      <c r="H41" s="184"/>
      <c r="I41" s="185" t="s">
        <v>189</v>
      </c>
      <c r="J41" s="185" t="s">
        <v>189</v>
      </c>
      <c r="K41" s="185" t="s">
        <v>189</v>
      </c>
      <c r="L41" s="149"/>
      <c r="M41" s="435"/>
      <c r="N41" s="185" t="s">
        <v>189</v>
      </c>
      <c r="O41" s="185" t="s">
        <v>189</v>
      </c>
      <c r="P41" s="185" t="s">
        <v>189</v>
      </c>
      <c r="Q41" s="149"/>
      <c r="R41" s="441"/>
      <c r="S41" s="185" t="s">
        <v>189</v>
      </c>
      <c r="T41" s="185" t="s">
        <v>189</v>
      </c>
      <c r="U41" s="185" t="s">
        <v>189</v>
      </c>
      <c r="V41" s="149"/>
      <c r="W41" s="441"/>
      <c r="X41" s="185" t="s">
        <v>187</v>
      </c>
      <c r="Y41" s="185" t="s">
        <v>187</v>
      </c>
      <c r="Z41" s="185" t="s">
        <v>212</v>
      </c>
      <c r="AA41" s="149"/>
      <c r="AB41" s="184"/>
      <c r="AC41" s="185" t="s">
        <v>187</v>
      </c>
      <c r="AD41" s="186" t="s">
        <v>189</v>
      </c>
      <c r="AE41" s="186" t="s">
        <v>189</v>
      </c>
      <c r="AF41" s="149"/>
      <c r="AG41" s="184"/>
      <c r="AH41" s="185" t="s">
        <v>187</v>
      </c>
      <c r="AI41" s="185" t="s">
        <v>187</v>
      </c>
      <c r="AJ41" s="185" t="s">
        <v>187</v>
      </c>
      <c r="AK41" s="299"/>
      <c r="AL41" s="184"/>
      <c r="AM41" s="185" t="s">
        <v>187</v>
      </c>
      <c r="AN41" s="185" t="s">
        <v>187</v>
      </c>
      <c r="AO41" s="185" t="s">
        <v>187</v>
      </c>
      <c r="AP41" s="299"/>
      <c r="AQ41" s="184"/>
      <c r="AR41" s="185" t="s">
        <v>189</v>
      </c>
      <c r="AS41" s="186" t="s">
        <v>189</v>
      </c>
      <c r="AT41" s="186" t="s">
        <v>189</v>
      </c>
      <c r="AU41" s="149"/>
      <c r="AV41" s="184"/>
      <c r="AW41" s="185" t="s">
        <v>212</v>
      </c>
      <c r="AX41" s="185" t="s">
        <v>212</v>
      </c>
      <c r="AY41" s="185" t="s">
        <v>212</v>
      </c>
      <c r="AZ41" s="149"/>
      <c r="BA41" s="184"/>
      <c r="BB41" s="185" t="s">
        <v>189</v>
      </c>
      <c r="BC41" s="185" t="s">
        <v>189</v>
      </c>
      <c r="BD41" s="59" t="s">
        <v>189</v>
      </c>
      <c r="BE41" s="149"/>
      <c r="BF41" s="184"/>
      <c r="BG41" s="185" t="s">
        <v>211</v>
      </c>
      <c r="BH41" s="186"/>
      <c r="BI41" s="59"/>
      <c r="BJ41" s="149"/>
      <c r="BK41" s="184"/>
      <c r="BL41" s="185" t="s">
        <v>189</v>
      </c>
      <c r="BM41" s="185" t="s">
        <v>189</v>
      </c>
      <c r="BN41" s="185" t="s">
        <v>189</v>
      </c>
      <c r="BO41" s="149"/>
      <c r="BP41" s="184"/>
      <c r="BQ41" s="185" t="s">
        <v>211</v>
      </c>
      <c r="BR41" s="186"/>
      <c r="BS41" s="59"/>
      <c r="BT41" s="149"/>
      <c r="BU41" s="184"/>
      <c r="BV41" s="185" t="s">
        <v>212</v>
      </c>
      <c r="BW41" s="185" t="s">
        <v>212</v>
      </c>
      <c r="BX41" s="185" t="s">
        <v>212</v>
      </c>
      <c r="BY41" s="278" t="s">
        <v>264</v>
      </c>
      <c r="BZ41" s="283"/>
      <c r="CA41" s="185" t="s">
        <v>188</v>
      </c>
      <c r="CB41" s="185" t="s">
        <v>212</v>
      </c>
      <c r="CC41" s="185" t="s">
        <v>212</v>
      </c>
      <c r="CD41" s="284"/>
      <c r="CE41" s="283"/>
      <c r="CF41" s="185" t="s">
        <v>189</v>
      </c>
      <c r="CG41" s="185"/>
      <c r="CH41" s="185"/>
      <c r="CI41" s="278"/>
      <c r="CJ41" s="471"/>
    </row>
    <row r="42" spans="2:88" ht="17">
      <c r="B42" s="129" t="s">
        <v>54</v>
      </c>
      <c r="C42" s="294" t="s">
        <v>74</v>
      </c>
      <c r="D42" s="185" t="s">
        <v>211</v>
      </c>
      <c r="E42" s="186" t="s">
        <v>189</v>
      </c>
      <c r="F42" s="59" t="s">
        <v>189</v>
      </c>
      <c r="G42" s="192" t="s">
        <v>333</v>
      </c>
      <c r="H42" s="188"/>
      <c r="I42" s="185" t="s">
        <v>189</v>
      </c>
      <c r="J42" s="185" t="s">
        <v>189</v>
      </c>
      <c r="K42" s="185" t="s">
        <v>189</v>
      </c>
      <c r="L42" s="192"/>
      <c r="M42" s="435"/>
      <c r="N42" s="185" t="s">
        <v>189</v>
      </c>
      <c r="O42" s="185" t="s">
        <v>189</v>
      </c>
      <c r="P42" s="185" t="s">
        <v>189</v>
      </c>
      <c r="Q42" s="192"/>
      <c r="R42" s="441"/>
      <c r="S42" s="185" t="s">
        <v>189</v>
      </c>
      <c r="T42" s="185" t="s">
        <v>189</v>
      </c>
      <c r="U42" s="185" t="s">
        <v>189</v>
      </c>
      <c r="V42" s="192"/>
      <c r="W42" s="441"/>
      <c r="X42" s="185" t="s">
        <v>187</v>
      </c>
      <c r="Y42" s="185" t="s">
        <v>187</v>
      </c>
      <c r="Z42" s="185" t="s">
        <v>212</v>
      </c>
      <c r="AA42" s="192"/>
      <c r="AB42" s="188"/>
      <c r="AC42" s="185" t="s">
        <v>187</v>
      </c>
      <c r="AD42" s="186" t="s">
        <v>189</v>
      </c>
      <c r="AE42" s="186" t="s">
        <v>189</v>
      </c>
      <c r="AF42" s="192"/>
      <c r="AG42" s="188"/>
      <c r="AH42" s="185" t="s">
        <v>187</v>
      </c>
      <c r="AI42" s="185" t="s">
        <v>187</v>
      </c>
      <c r="AJ42" s="185" t="s">
        <v>187</v>
      </c>
      <c r="AK42" s="301"/>
      <c r="AL42" s="188"/>
      <c r="AM42" s="185" t="s">
        <v>187</v>
      </c>
      <c r="AN42" s="185" t="s">
        <v>187</v>
      </c>
      <c r="AO42" s="185" t="s">
        <v>187</v>
      </c>
      <c r="AP42" s="301"/>
      <c r="AQ42" s="188"/>
      <c r="AR42" s="185" t="s">
        <v>189</v>
      </c>
      <c r="AS42" s="186" t="s">
        <v>189</v>
      </c>
      <c r="AT42" s="186" t="s">
        <v>189</v>
      </c>
      <c r="AU42" s="192"/>
      <c r="AV42" s="188"/>
      <c r="AW42" s="185" t="s">
        <v>212</v>
      </c>
      <c r="AX42" s="185" t="s">
        <v>212</v>
      </c>
      <c r="AY42" s="185" t="s">
        <v>212</v>
      </c>
      <c r="AZ42" s="192"/>
      <c r="BA42" s="188"/>
      <c r="BB42" s="185" t="s">
        <v>189</v>
      </c>
      <c r="BC42" s="185" t="s">
        <v>189</v>
      </c>
      <c r="BD42" s="59" t="s">
        <v>189</v>
      </c>
      <c r="BE42" s="192"/>
      <c r="BF42" s="188"/>
      <c r="BG42" s="185" t="s">
        <v>211</v>
      </c>
      <c r="BH42" s="59"/>
      <c r="BI42" s="59"/>
      <c r="BJ42" s="192"/>
      <c r="BK42" s="188"/>
      <c r="BL42" s="185" t="s">
        <v>189</v>
      </c>
      <c r="BM42" s="185" t="s">
        <v>189</v>
      </c>
      <c r="BN42" s="185" t="s">
        <v>189</v>
      </c>
      <c r="BO42" s="192"/>
      <c r="BP42" s="188"/>
      <c r="BQ42" s="185" t="s">
        <v>211</v>
      </c>
      <c r="BR42" s="59"/>
      <c r="BS42" s="59"/>
      <c r="BT42" s="192"/>
      <c r="BU42" s="188"/>
      <c r="BV42" s="185" t="s">
        <v>212</v>
      </c>
      <c r="BW42" s="185" t="s">
        <v>212</v>
      </c>
      <c r="BX42" s="185" t="s">
        <v>212</v>
      </c>
      <c r="BY42" s="278" t="s">
        <v>264</v>
      </c>
      <c r="BZ42" s="188"/>
      <c r="CA42" s="185" t="s">
        <v>188</v>
      </c>
      <c r="CB42" s="185" t="s">
        <v>212</v>
      </c>
      <c r="CC42" s="185" t="s">
        <v>212</v>
      </c>
      <c r="CD42" s="192"/>
      <c r="CE42" s="188"/>
      <c r="CF42" s="185" t="s">
        <v>189</v>
      </c>
      <c r="CG42" s="185"/>
      <c r="CH42" s="185"/>
      <c r="CI42" s="278"/>
      <c r="CJ42" s="472"/>
    </row>
    <row r="43" spans="2:88" ht="18" customHeight="1">
      <c r="B43" s="35" t="s">
        <v>76</v>
      </c>
      <c r="C43" s="289" t="s">
        <v>78</v>
      </c>
      <c r="D43" s="185" t="s">
        <v>211</v>
      </c>
      <c r="E43" s="186" t="s">
        <v>189</v>
      </c>
      <c r="F43" s="59" t="s">
        <v>189</v>
      </c>
      <c r="G43" s="32" t="s">
        <v>324</v>
      </c>
      <c r="H43" s="193"/>
      <c r="I43" s="185" t="s">
        <v>188</v>
      </c>
      <c r="J43" s="186" t="s">
        <v>189</v>
      </c>
      <c r="K43" s="59" t="s">
        <v>189</v>
      </c>
      <c r="L43" s="149" t="s">
        <v>291</v>
      </c>
      <c r="M43" s="435"/>
      <c r="N43" s="185" t="s">
        <v>188</v>
      </c>
      <c r="O43" s="186" t="s">
        <v>189</v>
      </c>
      <c r="P43" s="59" t="s">
        <v>189</v>
      </c>
      <c r="Q43" s="149" t="s">
        <v>291</v>
      </c>
      <c r="R43" s="441"/>
      <c r="S43" s="185" t="s">
        <v>188</v>
      </c>
      <c r="T43" s="186" t="s">
        <v>189</v>
      </c>
      <c r="U43" s="59" t="s">
        <v>189</v>
      </c>
      <c r="V43" s="149" t="s">
        <v>291</v>
      </c>
      <c r="W43" s="441"/>
      <c r="X43" s="185" t="s">
        <v>187</v>
      </c>
      <c r="Y43" s="185" t="s">
        <v>187</v>
      </c>
      <c r="Z43" s="186" t="s">
        <v>212</v>
      </c>
      <c r="AA43" s="149"/>
      <c r="AB43" s="193"/>
      <c r="AC43" s="185" t="s">
        <v>187</v>
      </c>
      <c r="AD43" s="186" t="s">
        <v>189</v>
      </c>
      <c r="AE43" s="186" t="s">
        <v>189</v>
      </c>
      <c r="AF43" s="149"/>
      <c r="AG43" s="193"/>
      <c r="AH43" s="185" t="s">
        <v>189</v>
      </c>
      <c r="AI43" s="185" t="s">
        <v>189</v>
      </c>
      <c r="AJ43" s="185" t="s">
        <v>189</v>
      </c>
      <c r="AK43" s="299"/>
      <c r="AL43" s="193"/>
      <c r="AM43" s="185" t="s">
        <v>189</v>
      </c>
      <c r="AN43" s="185" t="s">
        <v>189</v>
      </c>
      <c r="AO43" s="185" t="s">
        <v>189</v>
      </c>
      <c r="AP43" s="299"/>
      <c r="AQ43" s="193"/>
      <c r="AR43" s="185" t="s">
        <v>189</v>
      </c>
      <c r="AS43" s="186" t="s">
        <v>189</v>
      </c>
      <c r="AT43" s="186" t="s">
        <v>189</v>
      </c>
      <c r="AU43" s="149"/>
      <c r="AV43" s="193"/>
      <c r="AW43" s="185" t="s">
        <v>187</v>
      </c>
      <c r="AX43" s="185" t="s">
        <v>187</v>
      </c>
      <c r="AY43" s="185" t="s">
        <v>187</v>
      </c>
      <c r="AZ43" s="149"/>
      <c r="BA43" s="193"/>
      <c r="BB43" s="185" t="s">
        <v>211</v>
      </c>
      <c r="BC43" s="186" t="s">
        <v>189</v>
      </c>
      <c r="BD43" s="186" t="s">
        <v>189</v>
      </c>
      <c r="BE43" s="149"/>
      <c r="BF43" s="193"/>
      <c r="BG43" s="185" t="s">
        <v>211</v>
      </c>
      <c r="BH43" s="186"/>
      <c r="BI43" s="186"/>
      <c r="BJ43" s="149"/>
      <c r="BK43" s="193"/>
      <c r="BL43" s="185" t="s">
        <v>187</v>
      </c>
      <c r="BM43" s="185" t="s">
        <v>187</v>
      </c>
      <c r="BN43" s="185" t="s">
        <v>187</v>
      </c>
      <c r="BO43" s="149"/>
      <c r="BP43" s="193"/>
      <c r="BQ43" s="185" t="s">
        <v>211</v>
      </c>
      <c r="BR43" s="186"/>
      <c r="BS43" s="186"/>
      <c r="BT43" s="149"/>
      <c r="BU43" s="193"/>
      <c r="BV43" s="185" t="s">
        <v>212</v>
      </c>
      <c r="BW43" s="185" t="s">
        <v>212</v>
      </c>
      <c r="BX43" s="185" t="s">
        <v>212</v>
      </c>
      <c r="BY43" s="278" t="s">
        <v>264</v>
      </c>
      <c r="BZ43" s="459" t="s">
        <v>337</v>
      </c>
      <c r="CA43" s="185" t="s">
        <v>187</v>
      </c>
      <c r="CB43" s="186" t="s">
        <v>187</v>
      </c>
      <c r="CC43" s="186" t="s">
        <v>212</v>
      </c>
      <c r="CD43" s="284"/>
      <c r="CE43" s="287"/>
      <c r="CF43" s="185" t="s">
        <v>187</v>
      </c>
      <c r="CG43" s="185" t="s">
        <v>189</v>
      </c>
      <c r="CH43" s="185" t="s">
        <v>189</v>
      </c>
      <c r="CI43" s="278" t="s">
        <v>338</v>
      </c>
      <c r="CJ43" s="468" t="s">
        <v>339</v>
      </c>
    </row>
    <row r="44" spans="2:88" ht="15.75" customHeight="1">
      <c r="B44" s="35" t="s">
        <v>76</v>
      </c>
      <c r="C44" s="289" t="s">
        <v>80</v>
      </c>
      <c r="D44" s="185" t="s">
        <v>211</v>
      </c>
      <c r="E44" s="186" t="s">
        <v>189</v>
      </c>
      <c r="F44" s="59" t="s">
        <v>189</v>
      </c>
      <c r="G44" s="32" t="s">
        <v>324</v>
      </c>
      <c r="H44" s="188"/>
      <c r="I44" s="186" t="s">
        <v>188</v>
      </c>
      <c r="J44" s="208" t="s">
        <v>189</v>
      </c>
      <c r="K44" s="209" t="s">
        <v>189</v>
      </c>
      <c r="L44" s="210" t="s">
        <v>291</v>
      </c>
      <c r="M44" s="435"/>
      <c r="N44" s="186" t="s">
        <v>188</v>
      </c>
      <c r="O44" s="208" t="s">
        <v>189</v>
      </c>
      <c r="P44" s="209" t="s">
        <v>189</v>
      </c>
      <c r="Q44" s="210" t="s">
        <v>291</v>
      </c>
      <c r="R44" s="441"/>
      <c r="S44" s="186" t="s">
        <v>188</v>
      </c>
      <c r="T44" s="208" t="s">
        <v>189</v>
      </c>
      <c r="U44" s="209" t="s">
        <v>189</v>
      </c>
      <c r="V44" s="210" t="s">
        <v>291</v>
      </c>
      <c r="W44" s="441"/>
      <c r="X44" s="185" t="s">
        <v>187</v>
      </c>
      <c r="Y44" s="185" t="s">
        <v>187</v>
      </c>
      <c r="Z44" s="186" t="s">
        <v>212</v>
      </c>
      <c r="AA44" s="149"/>
      <c r="AB44" s="188"/>
      <c r="AC44" s="185" t="s">
        <v>187</v>
      </c>
      <c r="AD44" s="186" t="s">
        <v>189</v>
      </c>
      <c r="AE44" s="186" t="s">
        <v>189</v>
      </c>
      <c r="AF44" s="149"/>
      <c r="AG44" s="188"/>
      <c r="AH44" s="185" t="s">
        <v>189</v>
      </c>
      <c r="AI44" s="185" t="s">
        <v>189</v>
      </c>
      <c r="AJ44" s="185" t="s">
        <v>189</v>
      </c>
      <c r="AK44" s="299" t="s">
        <v>340</v>
      </c>
      <c r="AL44" s="188"/>
      <c r="AM44" s="185" t="s">
        <v>189</v>
      </c>
      <c r="AN44" s="185" t="s">
        <v>189</v>
      </c>
      <c r="AO44" s="185" t="s">
        <v>189</v>
      </c>
      <c r="AP44" s="299" t="s">
        <v>340</v>
      </c>
      <c r="AQ44" s="188"/>
      <c r="AR44" s="185" t="s">
        <v>189</v>
      </c>
      <c r="AS44" s="186" t="s">
        <v>189</v>
      </c>
      <c r="AT44" s="186" t="s">
        <v>189</v>
      </c>
      <c r="AU44" s="149"/>
      <c r="AV44" s="188"/>
      <c r="AW44" s="185" t="s">
        <v>187</v>
      </c>
      <c r="AX44" s="185" t="s">
        <v>187</v>
      </c>
      <c r="AY44" s="185" t="s">
        <v>187</v>
      </c>
      <c r="AZ44" s="149"/>
      <c r="BA44" s="188"/>
      <c r="BB44" s="185" t="s">
        <v>211</v>
      </c>
      <c r="BC44" s="186" t="s">
        <v>189</v>
      </c>
      <c r="BD44" s="186" t="s">
        <v>189</v>
      </c>
      <c r="BE44" s="149"/>
      <c r="BF44" s="188"/>
      <c r="BG44" s="185" t="s">
        <v>211</v>
      </c>
      <c r="BH44" s="185"/>
      <c r="BI44" s="185"/>
      <c r="BJ44" s="149"/>
      <c r="BK44" s="188"/>
      <c r="BL44" s="185" t="s">
        <v>187</v>
      </c>
      <c r="BM44" s="185" t="s">
        <v>187</v>
      </c>
      <c r="BN44" s="185" t="s">
        <v>187</v>
      </c>
      <c r="BO44" s="149"/>
      <c r="BP44" s="188"/>
      <c r="BQ44" s="185" t="s">
        <v>211</v>
      </c>
      <c r="BR44" s="185"/>
      <c r="BS44" s="185"/>
      <c r="BT44" s="149"/>
      <c r="BU44" s="188"/>
      <c r="BV44" s="185" t="s">
        <v>211</v>
      </c>
      <c r="BW44" s="185" t="s">
        <v>189</v>
      </c>
      <c r="BX44" s="185" t="s">
        <v>189</v>
      </c>
      <c r="BY44" s="278" t="s">
        <v>341</v>
      </c>
      <c r="BZ44" s="460"/>
      <c r="CA44" s="185" t="s">
        <v>187</v>
      </c>
      <c r="CB44" s="185" t="s">
        <v>187</v>
      </c>
      <c r="CC44" s="185" t="s">
        <v>212</v>
      </c>
      <c r="CD44" s="284"/>
      <c r="CE44" s="188"/>
      <c r="CF44" s="185" t="s">
        <v>187</v>
      </c>
      <c r="CG44" s="185" t="s">
        <v>187</v>
      </c>
      <c r="CH44" s="185" t="s">
        <v>187</v>
      </c>
      <c r="CI44" s="278"/>
      <c r="CJ44" s="469"/>
    </row>
    <row r="45" spans="2:88" ht="17.25" customHeight="1">
      <c r="B45" s="35" t="s">
        <v>76</v>
      </c>
      <c r="C45" s="290" t="s">
        <v>82</v>
      </c>
      <c r="D45" s="185" t="s">
        <v>211</v>
      </c>
      <c r="E45" s="186" t="s">
        <v>189</v>
      </c>
      <c r="F45" s="59" t="s">
        <v>189</v>
      </c>
      <c r="G45" s="32" t="s">
        <v>326</v>
      </c>
      <c r="H45" s="184"/>
      <c r="I45" s="186" t="s">
        <v>188</v>
      </c>
      <c r="J45" s="208" t="s">
        <v>189</v>
      </c>
      <c r="K45" s="209" t="s">
        <v>189</v>
      </c>
      <c r="L45" s="210" t="s">
        <v>291</v>
      </c>
      <c r="M45" s="435"/>
      <c r="N45" s="186" t="s">
        <v>188</v>
      </c>
      <c r="O45" s="208" t="s">
        <v>189</v>
      </c>
      <c r="P45" s="209" t="s">
        <v>189</v>
      </c>
      <c r="Q45" s="210" t="s">
        <v>291</v>
      </c>
      <c r="R45" s="441"/>
      <c r="S45" s="186" t="s">
        <v>188</v>
      </c>
      <c r="T45" s="208" t="s">
        <v>189</v>
      </c>
      <c r="U45" s="209" t="s">
        <v>189</v>
      </c>
      <c r="V45" s="210" t="s">
        <v>291</v>
      </c>
      <c r="W45" s="441"/>
      <c r="X45" s="185" t="s">
        <v>213</v>
      </c>
      <c r="Y45" s="59" t="s">
        <v>213</v>
      </c>
      <c r="Z45" s="186" t="s">
        <v>212</v>
      </c>
      <c r="AA45" s="149"/>
      <c r="AB45" s="184"/>
      <c r="AC45" s="185" t="s">
        <v>189</v>
      </c>
      <c r="AD45" s="186" t="s">
        <v>189</v>
      </c>
      <c r="AE45" s="186" t="s">
        <v>189</v>
      </c>
      <c r="AF45" s="149"/>
      <c r="AG45" s="184"/>
      <c r="AH45" s="185" t="s">
        <v>187</v>
      </c>
      <c r="AI45" s="185" t="s">
        <v>187</v>
      </c>
      <c r="AJ45" s="185" t="s">
        <v>212</v>
      </c>
      <c r="AK45" s="299"/>
      <c r="AL45" s="184"/>
      <c r="AM45" s="185" t="s">
        <v>187</v>
      </c>
      <c r="AN45" s="185" t="s">
        <v>187</v>
      </c>
      <c r="AO45" s="185" t="s">
        <v>212</v>
      </c>
      <c r="AP45" s="299"/>
      <c r="AQ45" s="184"/>
      <c r="AR45" s="185" t="s">
        <v>189</v>
      </c>
      <c r="AS45" s="186" t="s">
        <v>189</v>
      </c>
      <c r="AT45" s="186" t="s">
        <v>189</v>
      </c>
      <c r="AU45" s="149"/>
      <c r="AV45" s="184"/>
      <c r="AW45" s="185" t="s">
        <v>187</v>
      </c>
      <c r="AX45" s="185" t="s">
        <v>187</v>
      </c>
      <c r="AY45" s="185" t="s">
        <v>189</v>
      </c>
      <c r="AZ45" s="149"/>
      <c r="BA45" s="184"/>
      <c r="BB45" s="185" t="s">
        <v>211</v>
      </c>
      <c r="BC45" s="186" t="s">
        <v>189</v>
      </c>
      <c r="BD45" s="186" t="s">
        <v>189</v>
      </c>
      <c r="BE45" s="149"/>
      <c r="BF45" s="184"/>
      <c r="BG45" s="185" t="s">
        <v>211</v>
      </c>
      <c r="BH45" s="59"/>
      <c r="BI45" s="59"/>
      <c r="BJ45" s="149"/>
      <c r="BK45" s="184"/>
      <c r="BL45" s="185" t="s">
        <v>188</v>
      </c>
      <c r="BM45" s="59" t="s">
        <v>213</v>
      </c>
      <c r="BN45" s="59" t="s">
        <v>213</v>
      </c>
      <c r="BO45" s="149"/>
      <c r="BP45" s="184"/>
      <c r="BQ45" s="185" t="s">
        <v>211</v>
      </c>
      <c r="BR45" s="59"/>
      <c r="BS45" s="59"/>
      <c r="BT45" s="149"/>
      <c r="BU45" s="184"/>
      <c r="BV45" s="185" t="s">
        <v>212</v>
      </c>
      <c r="BW45" s="185" t="s">
        <v>212</v>
      </c>
      <c r="BX45" s="185" t="s">
        <v>212</v>
      </c>
      <c r="BY45" s="284"/>
      <c r="BZ45" s="460"/>
      <c r="CA45" s="185" t="s">
        <v>187</v>
      </c>
      <c r="CB45" s="185" t="s">
        <v>187</v>
      </c>
      <c r="CC45" s="185" t="s">
        <v>212</v>
      </c>
      <c r="CD45" s="284"/>
      <c r="CE45" s="283"/>
      <c r="CF45" s="185" t="s">
        <v>189</v>
      </c>
      <c r="CG45" s="185" t="s">
        <v>189</v>
      </c>
      <c r="CH45" s="185" t="s">
        <v>189</v>
      </c>
      <c r="CI45" s="278"/>
      <c r="CJ45" s="469"/>
    </row>
    <row r="46" spans="2:88" ht="17.25" customHeight="1">
      <c r="B46" s="35" t="s">
        <v>76</v>
      </c>
      <c r="C46" s="291" t="s">
        <v>84</v>
      </c>
      <c r="D46" s="185" t="s">
        <v>211</v>
      </c>
      <c r="E46" s="186" t="s">
        <v>189</v>
      </c>
      <c r="F46" s="59" t="s">
        <v>189</v>
      </c>
      <c r="G46" s="32" t="s">
        <v>324</v>
      </c>
      <c r="H46" s="188"/>
      <c r="I46" s="185" t="s">
        <v>211</v>
      </c>
      <c r="J46" s="186" t="s">
        <v>189</v>
      </c>
      <c r="K46" s="59" t="s">
        <v>189</v>
      </c>
      <c r="M46" s="435"/>
      <c r="N46" s="185" t="s">
        <v>211</v>
      </c>
      <c r="O46" s="186" t="s">
        <v>189</v>
      </c>
      <c r="P46" s="59" t="s">
        <v>189</v>
      </c>
      <c r="R46" s="441"/>
      <c r="S46" s="185" t="s">
        <v>211</v>
      </c>
      <c r="T46" s="186" t="s">
        <v>189</v>
      </c>
      <c r="U46" s="59" t="s">
        <v>189</v>
      </c>
      <c r="W46" s="441"/>
      <c r="X46" s="185" t="s">
        <v>187</v>
      </c>
      <c r="Y46" s="185" t="s">
        <v>187</v>
      </c>
      <c r="Z46" s="186" t="s">
        <v>212</v>
      </c>
      <c r="AA46" s="149"/>
      <c r="AB46" s="188"/>
      <c r="AC46" s="185" t="s">
        <v>187</v>
      </c>
      <c r="AD46" s="186" t="s">
        <v>189</v>
      </c>
      <c r="AE46" s="186" t="s">
        <v>189</v>
      </c>
      <c r="AF46" s="149"/>
      <c r="AG46" s="188"/>
      <c r="AH46" s="185" t="s">
        <v>187</v>
      </c>
      <c r="AI46" s="185" t="s">
        <v>187</v>
      </c>
      <c r="AJ46" s="185" t="s">
        <v>212</v>
      </c>
      <c r="AK46" s="299"/>
      <c r="AL46" s="188"/>
      <c r="AM46" s="185" t="s">
        <v>187</v>
      </c>
      <c r="AN46" s="185" t="s">
        <v>187</v>
      </c>
      <c r="AO46" s="185" t="s">
        <v>212</v>
      </c>
      <c r="AP46" s="299"/>
      <c r="AQ46" s="188"/>
      <c r="AR46" s="185" t="s">
        <v>189</v>
      </c>
      <c r="AS46" s="186" t="s">
        <v>189</v>
      </c>
      <c r="AT46" s="186" t="s">
        <v>189</v>
      </c>
      <c r="AU46" s="149"/>
      <c r="AV46" s="188"/>
      <c r="AW46" s="185" t="s">
        <v>187</v>
      </c>
      <c r="AX46" s="185" t="s">
        <v>187</v>
      </c>
      <c r="AY46" s="186" t="s">
        <v>189</v>
      </c>
      <c r="AZ46" s="149"/>
      <c r="BA46" s="188"/>
      <c r="BB46" s="185" t="s">
        <v>211</v>
      </c>
      <c r="BC46" s="186" t="s">
        <v>189</v>
      </c>
      <c r="BD46" s="186" t="s">
        <v>189</v>
      </c>
      <c r="BE46" s="149"/>
      <c r="BF46" s="188"/>
      <c r="BG46" s="185" t="s">
        <v>211</v>
      </c>
      <c r="BH46" s="185"/>
      <c r="BI46" s="186"/>
      <c r="BJ46" s="149"/>
      <c r="BK46" s="188"/>
      <c r="BL46" s="185" t="s">
        <v>187</v>
      </c>
      <c r="BM46" s="185" t="s">
        <v>187</v>
      </c>
      <c r="BN46" s="185" t="s">
        <v>187</v>
      </c>
      <c r="BO46" s="149"/>
      <c r="BP46" s="188"/>
      <c r="BQ46" s="185" t="s">
        <v>211</v>
      </c>
      <c r="BR46" s="185"/>
      <c r="BS46" s="186"/>
      <c r="BT46" s="149"/>
      <c r="BU46" s="188"/>
      <c r="BV46" s="185" t="s">
        <v>189</v>
      </c>
      <c r="BW46" s="185" t="s">
        <v>189</v>
      </c>
      <c r="BX46" s="185" t="s">
        <v>189</v>
      </c>
      <c r="BY46" s="278" t="s">
        <v>341</v>
      </c>
      <c r="BZ46" s="460"/>
      <c r="CA46" s="185" t="s">
        <v>187</v>
      </c>
      <c r="CB46" s="185" t="s">
        <v>187</v>
      </c>
      <c r="CC46" s="186" t="s">
        <v>212</v>
      </c>
      <c r="CD46" s="284"/>
      <c r="CE46" s="188"/>
      <c r="CF46" s="185" t="s">
        <v>187</v>
      </c>
      <c r="CG46" s="185" t="s">
        <v>187</v>
      </c>
      <c r="CH46" s="185" t="s">
        <v>189</v>
      </c>
      <c r="CI46" s="278" t="s">
        <v>342</v>
      </c>
      <c r="CJ46" s="469"/>
    </row>
    <row r="47" spans="2:88" ht="15.75" customHeight="1">
      <c r="B47" s="35" t="s">
        <v>76</v>
      </c>
      <c r="C47" s="291" t="s">
        <v>87</v>
      </c>
      <c r="D47" s="185" t="s">
        <v>211</v>
      </c>
      <c r="E47" s="186" t="s">
        <v>189</v>
      </c>
      <c r="F47" s="59" t="s">
        <v>189</v>
      </c>
      <c r="G47" s="149" t="s">
        <v>343</v>
      </c>
      <c r="H47" s="184"/>
      <c r="I47" s="185" t="s">
        <v>211</v>
      </c>
      <c r="J47" s="185" t="s">
        <v>189</v>
      </c>
      <c r="K47" s="59" t="s">
        <v>189</v>
      </c>
      <c r="L47" s="149" t="s">
        <v>343</v>
      </c>
      <c r="M47" s="435"/>
      <c r="N47" s="185" t="s">
        <v>211</v>
      </c>
      <c r="O47" s="185" t="s">
        <v>189</v>
      </c>
      <c r="P47" s="59" t="s">
        <v>189</v>
      </c>
      <c r="Q47" s="149" t="s">
        <v>343</v>
      </c>
      <c r="R47" s="441"/>
      <c r="S47" s="185" t="s">
        <v>211</v>
      </c>
      <c r="T47" s="185" t="s">
        <v>189</v>
      </c>
      <c r="U47" s="59" t="s">
        <v>189</v>
      </c>
      <c r="V47" s="149" t="s">
        <v>343</v>
      </c>
      <c r="W47" s="441"/>
      <c r="X47" s="185" t="s">
        <v>187</v>
      </c>
      <c r="Y47" s="185" t="s">
        <v>187</v>
      </c>
      <c r="Z47" s="186" t="s">
        <v>212</v>
      </c>
      <c r="AA47" s="149"/>
      <c r="AB47" s="184"/>
      <c r="AC47" s="185" t="s">
        <v>187</v>
      </c>
      <c r="AD47" s="186" t="s">
        <v>189</v>
      </c>
      <c r="AE47" s="186" t="s">
        <v>189</v>
      </c>
      <c r="AF47" s="149"/>
      <c r="AG47" s="184"/>
      <c r="AH47" s="185" t="s">
        <v>187</v>
      </c>
      <c r="AI47" s="185" t="s">
        <v>187</v>
      </c>
      <c r="AJ47" s="185" t="s">
        <v>212</v>
      </c>
      <c r="AK47" s="299"/>
      <c r="AL47" s="184"/>
      <c r="AM47" s="185" t="s">
        <v>187</v>
      </c>
      <c r="AN47" s="185" t="s">
        <v>187</v>
      </c>
      <c r="AO47" s="185" t="s">
        <v>212</v>
      </c>
      <c r="AP47" s="299"/>
      <c r="AQ47" s="184"/>
      <c r="AR47" s="185" t="s">
        <v>189</v>
      </c>
      <c r="AS47" s="186" t="s">
        <v>189</v>
      </c>
      <c r="AT47" s="186" t="s">
        <v>189</v>
      </c>
      <c r="AU47" s="149"/>
      <c r="AV47" s="184"/>
      <c r="AW47" s="185" t="s">
        <v>187</v>
      </c>
      <c r="AX47" s="185" t="s">
        <v>187</v>
      </c>
      <c r="AY47" s="59" t="s">
        <v>189</v>
      </c>
      <c r="AZ47" s="149"/>
      <c r="BA47" s="184"/>
      <c r="BB47" s="185" t="s">
        <v>211</v>
      </c>
      <c r="BC47" s="186" t="s">
        <v>189</v>
      </c>
      <c r="BD47" s="186" t="s">
        <v>189</v>
      </c>
      <c r="BE47" s="149"/>
      <c r="BF47" s="184"/>
      <c r="BG47" s="185" t="s">
        <v>211</v>
      </c>
      <c r="BH47" s="185"/>
      <c r="BI47" s="59"/>
      <c r="BJ47" s="149"/>
      <c r="BK47" s="184"/>
      <c r="BL47" s="185" t="s">
        <v>187</v>
      </c>
      <c r="BM47" s="185" t="s">
        <v>187</v>
      </c>
      <c r="BN47" s="185" t="s">
        <v>187</v>
      </c>
      <c r="BO47" s="149"/>
      <c r="BP47" s="184"/>
      <c r="BQ47" s="185" t="s">
        <v>211</v>
      </c>
      <c r="BR47" s="185"/>
      <c r="BS47" s="59"/>
      <c r="BT47" s="149"/>
      <c r="BU47" s="184"/>
      <c r="BV47" s="185" t="s">
        <v>189</v>
      </c>
      <c r="BW47" s="185" t="s">
        <v>189</v>
      </c>
      <c r="BX47" s="185" t="s">
        <v>189</v>
      </c>
      <c r="BY47" s="278" t="s">
        <v>341</v>
      </c>
      <c r="BZ47" s="460"/>
      <c r="CA47" s="185" t="s">
        <v>187</v>
      </c>
      <c r="CB47" s="185" t="s">
        <v>187</v>
      </c>
      <c r="CC47" s="186" t="s">
        <v>212</v>
      </c>
      <c r="CD47" s="284"/>
      <c r="CE47" s="283"/>
      <c r="CF47" s="185" t="s">
        <v>187</v>
      </c>
      <c r="CG47" s="185" t="s">
        <v>187</v>
      </c>
      <c r="CH47" s="185" t="s">
        <v>189</v>
      </c>
      <c r="CI47" s="278"/>
      <c r="CJ47" s="469"/>
    </row>
    <row r="48" spans="2:88" ht="15.75" customHeight="1">
      <c r="B48" s="35" t="s">
        <v>76</v>
      </c>
      <c r="C48" s="291" t="s">
        <v>89</v>
      </c>
      <c r="D48" s="185" t="s">
        <v>211</v>
      </c>
      <c r="E48" s="186" t="s">
        <v>189</v>
      </c>
      <c r="F48" s="59" t="s">
        <v>189</v>
      </c>
      <c r="G48" s="32" t="s">
        <v>324</v>
      </c>
      <c r="H48" s="184"/>
      <c r="I48" s="185" t="s">
        <v>189</v>
      </c>
      <c r="J48" s="185" t="s">
        <v>189</v>
      </c>
      <c r="K48" s="186" t="s">
        <v>189</v>
      </c>
      <c r="L48" s="190"/>
      <c r="M48" s="435"/>
      <c r="N48" s="185" t="s">
        <v>189</v>
      </c>
      <c r="O48" s="185" t="s">
        <v>189</v>
      </c>
      <c r="P48" s="186" t="s">
        <v>189</v>
      </c>
      <c r="Q48" s="190"/>
      <c r="R48" s="441"/>
      <c r="S48" s="185" t="s">
        <v>189</v>
      </c>
      <c r="T48" s="185" t="s">
        <v>189</v>
      </c>
      <c r="U48" s="186" t="s">
        <v>189</v>
      </c>
      <c r="V48" s="190"/>
      <c r="W48" s="441"/>
      <c r="X48" s="185" t="s">
        <v>187</v>
      </c>
      <c r="Y48" s="185" t="s">
        <v>187</v>
      </c>
      <c r="Z48" s="186" t="s">
        <v>212</v>
      </c>
      <c r="AA48" s="190"/>
      <c r="AB48" s="184"/>
      <c r="AC48" s="185" t="s">
        <v>187</v>
      </c>
      <c r="AD48" s="186" t="s">
        <v>189</v>
      </c>
      <c r="AE48" s="186" t="s">
        <v>189</v>
      </c>
      <c r="AF48" s="190"/>
      <c r="AG48" s="184"/>
      <c r="AH48" s="185" t="s">
        <v>187</v>
      </c>
      <c r="AI48" s="185" t="s">
        <v>187</v>
      </c>
      <c r="AJ48" s="185" t="s">
        <v>189</v>
      </c>
      <c r="AK48" s="300"/>
      <c r="AL48" s="184"/>
      <c r="AM48" s="185" t="s">
        <v>187</v>
      </c>
      <c r="AN48" s="185" t="s">
        <v>187</v>
      </c>
      <c r="AO48" s="185" t="s">
        <v>189</v>
      </c>
      <c r="AP48" s="300"/>
      <c r="AQ48" s="184"/>
      <c r="AR48" s="185" t="s">
        <v>189</v>
      </c>
      <c r="AS48" s="186" t="s">
        <v>189</v>
      </c>
      <c r="AT48" s="186" t="s">
        <v>189</v>
      </c>
      <c r="AU48" s="190"/>
      <c r="AV48" s="184"/>
      <c r="AW48" s="185" t="s">
        <v>187</v>
      </c>
      <c r="AX48" s="185" t="s">
        <v>187</v>
      </c>
      <c r="AY48" s="186" t="s">
        <v>189</v>
      </c>
      <c r="AZ48" s="190"/>
      <c r="BA48" s="184"/>
      <c r="BB48" s="185" t="s">
        <v>211</v>
      </c>
      <c r="BC48" s="186" t="s">
        <v>189</v>
      </c>
      <c r="BD48" s="186" t="s">
        <v>189</v>
      </c>
      <c r="BE48" s="190"/>
      <c r="BF48" s="184"/>
      <c r="BG48" s="185" t="s">
        <v>211</v>
      </c>
      <c r="BH48" s="185"/>
      <c r="BI48" s="186"/>
      <c r="BJ48" s="190"/>
      <c r="BK48" s="184"/>
      <c r="BL48" s="185" t="s">
        <v>187</v>
      </c>
      <c r="BM48" s="185" t="s">
        <v>187</v>
      </c>
      <c r="BN48" s="185" t="s">
        <v>187</v>
      </c>
      <c r="BO48" s="190"/>
      <c r="BP48" s="184"/>
      <c r="BQ48" s="185" t="s">
        <v>211</v>
      </c>
      <c r="BR48" s="185"/>
      <c r="BS48" s="186"/>
      <c r="BT48" s="190"/>
      <c r="BU48" s="184"/>
      <c r="BV48" s="185" t="s">
        <v>189</v>
      </c>
      <c r="BW48" s="185" t="s">
        <v>189</v>
      </c>
      <c r="BX48" s="185" t="s">
        <v>189</v>
      </c>
      <c r="BY48" s="278" t="s">
        <v>341</v>
      </c>
      <c r="BZ48" s="460"/>
      <c r="CA48" s="185" t="s">
        <v>187</v>
      </c>
      <c r="CB48" s="185" t="s">
        <v>187</v>
      </c>
      <c r="CC48" s="186" t="s">
        <v>212</v>
      </c>
      <c r="CD48" s="285"/>
      <c r="CE48" s="283"/>
      <c r="CF48" s="185" t="s">
        <v>187</v>
      </c>
      <c r="CG48" s="185" t="s">
        <v>187</v>
      </c>
      <c r="CH48" s="185" t="s">
        <v>187</v>
      </c>
      <c r="CI48" s="278"/>
      <c r="CJ48" s="469"/>
    </row>
    <row r="49" spans="2:88" ht="17">
      <c r="B49" s="35" t="s">
        <v>76</v>
      </c>
      <c r="C49" s="291" t="s">
        <v>91</v>
      </c>
      <c r="D49" s="185" t="s">
        <v>211</v>
      </c>
      <c r="E49" s="186" t="s">
        <v>189</v>
      </c>
      <c r="F49" s="59" t="s">
        <v>189</v>
      </c>
      <c r="G49" s="149" t="s">
        <v>344</v>
      </c>
      <c r="H49" s="188"/>
      <c r="I49" s="185" t="s">
        <v>189</v>
      </c>
      <c r="J49" s="185" t="s">
        <v>189</v>
      </c>
      <c r="K49" s="186" t="s">
        <v>189</v>
      </c>
      <c r="L49" s="149"/>
      <c r="M49" s="435"/>
      <c r="N49" s="185" t="s">
        <v>189</v>
      </c>
      <c r="O49" s="185" t="s">
        <v>189</v>
      </c>
      <c r="P49" s="186" t="s">
        <v>189</v>
      </c>
      <c r="Q49" s="149"/>
      <c r="R49" s="441"/>
      <c r="S49" s="185" t="s">
        <v>189</v>
      </c>
      <c r="T49" s="185" t="s">
        <v>189</v>
      </c>
      <c r="U49" s="186" t="s">
        <v>189</v>
      </c>
      <c r="V49" s="149"/>
      <c r="W49" s="441"/>
      <c r="X49" s="185" t="s">
        <v>213</v>
      </c>
      <c r="Y49" s="185" t="s">
        <v>213</v>
      </c>
      <c r="Z49" s="186" t="s">
        <v>213</v>
      </c>
      <c r="AA49" s="149"/>
      <c r="AB49" s="188"/>
      <c r="AC49" s="185" t="s">
        <v>189</v>
      </c>
      <c r="AD49" s="186" t="s">
        <v>189</v>
      </c>
      <c r="AE49" s="186" t="s">
        <v>189</v>
      </c>
      <c r="AF49" s="149"/>
      <c r="AG49" s="188"/>
      <c r="AH49" s="185" t="s">
        <v>187</v>
      </c>
      <c r="AI49" s="185" t="s">
        <v>187</v>
      </c>
      <c r="AJ49" s="185" t="s">
        <v>189</v>
      </c>
      <c r="AK49" s="299"/>
      <c r="AL49" s="188"/>
      <c r="AM49" s="185" t="s">
        <v>189</v>
      </c>
      <c r="AN49" s="185" t="s">
        <v>189</v>
      </c>
      <c r="AO49" s="185" t="s">
        <v>189</v>
      </c>
      <c r="AP49" s="299"/>
      <c r="AQ49" s="188"/>
      <c r="AR49" s="185" t="s">
        <v>189</v>
      </c>
      <c r="AS49" s="186" t="s">
        <v>189</v>
      </c>
      <c r="AT49" s="186" t="s">
        <v>189</v>
      </c>
      <c r="AU49" s="149"/>
      <c r="AV49" s="188"/>
      <c r="AW49" s="185" t="s">
        <v>187</v>
      </c>
      <c r="AX49" s="185" t="s">
        <v>187</v>
      </c>
      <c r="AY49" s="185" t="s">
        <v>187</v>
      </c>
      <c r="AZ49" s="149"/>
      <c r="BA49" s="188"/>
      <c r="BB49" s="185" t="s">
        <v>211</v>
      </c>
      <c r="BC49" s="186" t="s">
        <v>189</v>
      </c>
      <c r="BD49" s="186" t="s">
        <v>189</v>
      </c>
      <c r="BE49" s="149"/>
      <c r="BF49" s="188"/>
      <c r="BG49" s="185" t="s">
        <v>211</v>
      </c>
      <c r="BH49" s="185"/>
      <c r="BI49" s="186"/>
      <c r="BJ49" s="149"/>
      <c r="BK49" s="188"/>
      <c r="BL49" s="185" t="s">
        <v>213</v>
      </c>
      <c r="BM49" s="185" t="s">
        <v>213</v>
      </c>
      <c r="BN49" s="185" t="s">
        <v>213</v>
      </c>
      <c r="BO49" s="149"/>
      <c r="BP49" s="188"/>
      <c r="BQ49" s="185" t="s">
        <v>211</v>
      </c>
      <c r="BR49" s="185"/>
      <c r="BS49" s="186"/>
      <c r="BT49" s="149"/>
      <c r="BU49" s="188"/>
      <c r="BV49" s="185" t="s">
        <v>212</v>
      </c>
      <c r="BW49" s="185" t="s">
        <v>212</v>
      </c>
      <c r="BX49" s="185" t="s">
        <v>212</v>
      </c>
      <c r="BZ49" s="460"/>
      <c r="CA49" s="185" t="s">
        <v>211</v>
      </c>
      <c r="CB49" s="185"/>
      <c r="CC49" s="186"/>
      <c r="CE49" s="188"/>
      <c r="CF49" s="185" t="s">
        <v>189</v>
      </c>
      <c r="CG49" s="185" t="s">
        <v>189</v>
      </c>
      <c r="CH49" s="185" t="s">
        <v>189</v>
      </c>
      <c r="CI49" s="278"/>
      <c r="CJ49" s="469"/>
    </row>
    <row r="50" spans="2:88" ht="19.5" customHeight="1">
      <c r="B50" s="35" t="s">
        <v>76</v>
      </c>
      <c r="C50" s="292" t="s">
        <v>93</v>
      </c>
      <c r="D50" s="185" t="s">
        <v>211</v>
      </c>
      <c r="E50" s="186" t="s">
        <v>189</v>
      </c>
      <c r="F50" s="59" t="s">
        <v>189</v>
      </c>
      <c r="G50" s="149" t="s">
        <v>345</v>
      </c>
      <c r="H50" s="184"/>
      <c r="I50" s="186" t="s">
        <v>188</v>
      </c>
      <c r="J50" s="208" t="s">
        <v>189</v>
      </c>
      <c r="K50" s="209" t="s">
        <v>189</v>
      </c>
      <c r="L50" s="194" t="s">
        <v>346</v>
      </c>
      <c r="M50" s="435"/>
      <c r="N50" s="186" t="s">
        <v>188</v>
      </c>
      <c r="O50" s="208" t="s">
        <v>189</v>
      </c>
      <c r="P50" s="209" t="s">
        <v>189</v>
      </c>
      <c r="Q50" s="194" t="s">
        <v>346</v>
      </c>
      <c r="R50" s="441"/>
      <c r="S50" s="186" t="s">
        <v>188</v>
      </c>
      <c r="T50" s="208" t="s">
        <v>189</v>
      </c>
      <c r="U50" s="209" t="s">
        <v>189</v>
      </c>
      <c r="V50" s="194" t="s">
        <v>346</v>
      </c>
      <c r="W50" s="441"/>
      <c r="X50" s="185" t="s">
        <v>213</v>
      </c>
      <c r="Y50" s="185" t="s">
        <v>213</v>
      </c>
      <c r="Z50" s="186" t="s">
        <v>213</v>
      </c>
      <c r="AA50" s="194"/>
      <c r="AB50" s="184"/>
      <c r="AC50" s="185" t="s">
        <v>212</v>
      </c>
      <c r="AD50" s="186" t="s">
        <v>189</v>
      </c>
      <c r="AE50" s="186" t="s">
        <v>189</v>
      </c>
      <c r="AF50" s="194"/>
      <c r="AG50" s="184"/>
      <c r="AH50" s="185" t="s">
        <v>189</v>
      </c>
      <c r="AI50" s="185" t="s">
        <v>189</v>
      </c>
      <c r="AJ50" s="185" t="s">
        <v>189</v>
      </c>
      <c r="AK50" s="302"/>
      <c r="AL50" s="184"/>
      <c r="AM50" s="185" t="s">
        <v>189</v>
      </c>
      <c r="AN50" s="185" t="s">
        <v>189</v>
      </c>
      <c r="AO50" s="185" t="s">
        <v>189</v>
      </c>
      <c r="AP50" s="302"/>
      <c r="AQ50" s="184"/>
      <c r="AR50" s="185" t="s">
        <v>189</v>
      </c>
      <c r="AS50" s="186" t="s">
        <v>189</v>
      </c>
      <c r="AT50" s="186" t="s">
        <v>189</v>
      </c>
      <c r="AU50" s="194"/>
      <c r="AV50" s="184"/>
      <c r="AW50" s="185" t="s">
        <v>212</v>
      </c>
      <c r="AX50" s="185" t="s">
        <v>212</v>
      </c>
      <c r="AY50" s="185" t="s">
        <v>212</v>
      </c>
      <c r="AZ50" s="194"/>
      <c r="BA50" s="184"/>
      <c r="BB50" s="185" t="s">
        <v>211</v>
      </c>
      <c r="BC50" s="186" t="s">
        <v>189</v>
      </c>
      <c r="BD50" s="186" t="s">
        <v>189</v>
      </c>
      <c r="BE50" s="194"/>
      <c r="BF50" s="184"/>
      <c r="BG50" s="185" t="s">
        <v>211</v>
      </c>
      <c r="BH50" s="185"/>
      <c r="BI50" s="185"/>
      <c r="BJ50" s="194"/>
      <c r="BK50" s="184"/>
      <c r="BL50" s="185" t="s">
        <v>188</v>
      </c>
      <c r="BM50" s="185" t="s">
        <v>213</v>
      </c>
      <c r="BN50" s="185" t="s">
        <v>213</v>
      </c>
      <c r="BO50" s="194"/>
      <c r="BP50" s="184"/>
      <c r="BQ50" s="185" t="s">
        <v>211</v>
      </c>
      <c r="BR50" s="185"/>
      <c r="BS50" s="185"/>
      <c r="BT50" s="194"/>
      <c r="BU50" s="184"/>
      <c r="BV50" s="185" t="s">
        <v>212</v>
      </c>
      <c r="BW50" s="185" t="s">
        <v>212</v>
      </c>
      <c r="BX50" s="185" t="s">
        <v>212</v>
      </c>
      <c r="BY50" s="284"/>
      <c r="BZ50" s="460"/>
      <c r="CA50" s="185" t="s">
        <v>212</v>
      </c>
      <c r="CB50" s="185"/>
      <c r="CC50" s="185"/>
      <c r="CD50" s="284" t="s">
        <v>347</v>
      </c>
      <c r="CE50" s="283"/>
      <c r="CF50" s="185" t="s">
        <v>211</v>
      </c>
      <c r="CG50" s="185"/>
      <c r="CH50" s="185"/>
      <c r="CI50" s="278"/>
      <c r="CJ50" s="469"/>
    </row>
    <row r="51" spans="2:88" ht="18.75" customHeight="1">
      <c r="B51" s="35" t="s">
        <v>76</v>
      </c>
      <c r="C51" s="292" t="s">
        <v>190</v>
      </c>
      <c r="D51" s="185" t="s">
        <v>211</v>
      </c>
      <c r="E51" s="186" t="s">
        <v>189</v>
      </c>
      <c r="F51" s="59" t="s">
        <v>189</v>
      </c>
      <c r="G51" s="149" t="s">
        <v>345</v>
      </c>
      <c r="H51" s="188"/>
      <c r="I51" s="186" t="s">
        <v>188</v>
      </c>
      <c r="J51" s="208" t="s">
        <v>189</v>
      </c>
      <c r="K51" s="209" t="s">
        <v>189</v>
      </c>
      <c r="L51" s="210" t="s">
        <v>291</v>
      </c>
      <c r="M51" s="435"/>
      <c r="N51" s="186" t="s">
        <v>188</v>
      </c>
      <c r="O51" s="208" t="s">
        <v>189</v>
      </c>
      <c r="P51" s="209" t="s">
        <v>189</v>
      </c>
      <c r="Q51" s="210" t="s">
        <v>291</v>
      </c>
      <c r="R51" s="441"/>
      <c r="S51" s="186" t="s">
        <v>188</v>
      </c>
      <c r="T51" s="208" t="s">
        <v>189</v>
      </c>
      <c r="U51" s="209" t="s">
        <v>189</v>
      </c>
      <c r="V51" s="210" t="s">
        <v>291</v>
      </c>
      <c r="W51" s="441"/>
      <c r="X51" s="185" t="s">
        <v>213</v>
      </c>
      <c r="Y51" s="185" t="s">
        <v>213</v>
      </c>
      <c r="Z51" s="186" t="s">
        <v>213</v>
      </c>
      <c r="AA51" s="149"/>
      <c r="AB51" s="188"/>
      <c r="AC51" s="185" t="s">
        <v>212</v>
      </c>
      <c r="AD51" s="186" t="s">
        <v>189</v>
      </c>
      <c r="AE51" s="186" t="s">
        <v>189</v>
      </c>
      <c r="AF51" s="149"/>
      <c r="AG51" s="188"/>
      <c r="AH51" s="185" t="s">
        <v>189</v>
      </c>
      <c r="AI51" s="185" t="s">
        <v>189</v>
      </c>
      <c r="AJ51" s="185" t="s">
        <v>189</v>
      </c>
      <c r="AK51" s="299"/>
      <c r="AL51" s="188"/>
      <c r="AM51" s="185" t="s">
        <v>189</v>
      </c>
      <c r="AN51" s="185" t="s">
        <v>189</v>
      </c>
      <c r="AO51" s="185" t="s">
        <v>189</v>
      </c>
      <c r="AP51" s="299"/>
      <c r="AQ51" s="188"/>
      <c r="AR51" s="185" t="s">
        <v>189</v>
      </c>
      <c r="AS51" s="186" t="s">
        <v>189</v>
      </c>
      <c r="AT51" s="186" t="s">
        <v>189</v>
      </c>
      <c r="AU51" s="149"/>
      <c r="AV51" s="188"/>
      <c r="AW51" s="185" t="s">
        <v>212</v>
      </c>
      <c r="AX51" s="185" t="s">
        <v>212</v>
      </c>
      <c r="AY51" s="185" t="s">
        <v>212</v>
      </c>
      <c r="AZ51" s="149"/>
      <c r="BA51" s="188"/>
      <c r="BB51" s="185" t="s">
        <v>211</v>
      </c>
      <c r="BC51" s="186" t="s">
        <v>189</v>
      </c>
      <c r="BD51" s="186" t="s">
        <v>189</v>
      </c>
      <c r="BE51" s="149"/>
      <c r="BF51" s="188"/>
      <c r="BG51" s="185" t="s">
        <v>211</v>
      </c>
      <c r="BH51" s="185"/>
      <c r="BI51" s="186"/>
      <c r="BJ51" s="149"/>
      <c r="BK51" s="188"/>
      <c r="BL51" s="185" t="s">
        <v>188</v>
      </c>
      <c r="BM51" s="185" t="s">
        <v>213</v>
      </c>
      <c r="BN51" s="185" t="s">
        <v>213</v>
      </c>
      <c r="BO51" s="149"/>
      <c r="BP51" s="188"/>
      <c r="BQ51" s="185" t="s">
        <v>211</v>
      </c>
      <c r="BR51" s="185"/>
      <c r="BS51" s="186"/>
      <c r="BT51" s="149"/>
      <c r="BU51" s="188"/>
      <c r="BV51" s="185" t="s">
        <v>212</v>
      </c>
      <c r="BW51" s="185" t="s">
        <v>212</v>
      </c>
      <c r="BX51" s="185" t="s">
        <v>212</v>
      </c>
      <c r="BY51" s="284"/>
      <c r="BZ51" s="460"/>
      <c r="CA51" s="185" t="s">
        <v>188</v>
      </c>
      <c r="CB51" s="185" t="s">
        <v>187</v>
      </c>
      <c r="CC51" s="186" t="s">
        <v>189</v>
      </c>
      <c r="CD51" s="284" t="s">
        <v>348</v>
      </c>
      <c r="CE51" s="188"/>
      <c r="CF51" s="185" t="s">
        <v>211</v>
      </c>
      <c r="CG51" s="185"/>
      <c r="CH51" s="185"/>
      <c r="CI51" s="278"/>
      <c r="CJ51" s="469"/>
    </row>
    <row r="52" spans="2:88" ht="19.5" customHeight="1">
      <c r="B52" s="35" t="s">
        <v>76</v>
      </c>
      <c r="C52" s="292" t="s">
        <v>191</v>
      </c>
      <c r="D52" s="185" t="s">
        <v>211</v>
      </c>
      <c r="E52" s="186" t="s">
        <v>189</v>
      </c>
      <c r="F52" s="59" t="s">
        <v>189</v>
      </c>
      <c r="G52" s="149" t="s">
        <v>345</v>
      </c>
      <c r="H52" s="188"/>
      <c r="I52" s="186" t="s">
        <v>188</v>
      </c>
      <c r="J52" s="208" t="s">
        <v>189</v>
      </c>
      <c r="K52" s="209" t="s">
        <v>189</v>
      </c>
      <c r="L52" s="194" t="s">
        <v>346</v>
      </c>
      <c r="M52" s="435"/>
      <c r="N52" s="186" t="s">
        <v>188</v>
      </c>
      <c r="O52" s="208" t="s">
        <v>189</v>
      </c>
      <c r="P52" s="209" t="s">
        <v>189</v>
      </c>
      <c r="Q52" s="194" t="s">
        <v>346</v>
      </c>
      <c r="R52" s="441"/>
      <c r="S52" s="186" t="s">
        <v>188</v>
      </c>
      <c r="T52" s="208" t="s">
        <v>189</v>
      </c>
      <c r="U52" s="209" t="s">
        <v>189</v>
      </c>
      <c r="V52" s="194" t="s">
        <v>346</v>
      </c>
      <c r="W52" s="441"/>
      <c r="X52" s="185" t="s">
        <v>213</v>
      </c>
      <c r="Y52" s="185" t="s">
        <v>213</v>
      </c>
      <c r="Z52" s="186" t="s">
        <v>213</v>
      </c>
      <c r="AA52" s="149"/>
      <c r="AB52" s="188"/>
      <c r="AC52" s="185" t="s">
        <v>212</v>
      </c>
      <c r="AD52" s="186" t="s">
        <v>189</v>
      </c>
      <c r="AE52" s="186" t="s">
        <v>189</v>
      </c>
      <c r="AF52" s="149"/>
      <c r="AG52" s="188"/>
      <c r="AH52" s="185" t="s">
        <v>189</v>
      </c>
      <c r="AI52" s="185" t="s">
        <v>189</v>
      </c>
      <c r="AJ52" s="185" t="s">
        <v>189</v>
      </c>
      <c r="AK52" s="299"/>
      <c r="AL52" s="188"/>
      <c r="AM52" s="185" t="s">
        <v>189</v>
      </c>
      <c r="AN52" s="185" t="s">
        <v>189</v>
      </c>
      <c r="AO52" s="185" t="s">
        <v>189</v>
      </c>
      <c r="AP52" s="299"/>
      <c r="AQ52" s="188"/>
      <c r="AR52" s="185" t="s">
        <v>189</v>
      </c>
      <c r="AS52" s="186" t="s">
        <v>189</v>
      </c>
      <c r="AT52" s="186" t="s">
        <v>189</v>
      </c>
      <c r="AU52" s="149"/>
      <c r="AV52" s="188"/>
      <c r="AW52" s="185" t="s">
        <v>212</v>
      </c>
      <c r="AX52" s="185" t="s">
        <v>212</v>
      </c>
      <c r="AY52" s="185" t="s">
        <v>212</v>
      </c>
      <c r="AZ52" s="149"/>
      <c r="BA52" s="188"/>
      <c r="BB52" s="185" t="s">
        <v>211</v>
      </c>
      <c r="BC52" s="186" t="s">
        <v>189</v>
      </c>
      <c r="BD52" s="186" t="s">
        <v>189</v>
      </c>
      <c r="BE52" s="149"/>
      <c r="BF52" s="188"/>
      <c r="BG52" s="185" t="s">
        <v>211</v>
      </c>
      <c r="BH52" s="185"/>
      <c r="BI52" s="185"/>
      <c r="BJ52" s="149"/>
      <c r="BK52" s="188"/>
      <c r="BL52" s="185" t="s">
        <v>188</v>
      </c>
      <c r="BM52" s="185" t="s">
        <v>213</v>
      </c>
      <c r="BN52" s="185" t="s">
        <v>213</v>
      </c>
      <c r="BO52" s="149"/>
      <c r="BP52" s="188"/>
      <c r="BQ52" s="185" t="s">
        <v>211</v>
      </c>
      <c r="BR52" s="185"/>
      <c r="BS52" s="185"/>
      <c r="BT52" s="149"/>
      <c r="BU52" s="188"/>
      <c r="BV52" s="185" t="s">
        <v>212</v>
      </c>
      <c r="BW52" s="185" t="s">
        <v>212</v>
      </c>
      <c r="BX52" s="185" t="s">
        <v>212</v>
      </c>
      <c r="BY52" s="284"/>
      <c r="BZ52" s="460"/>
      <c r="CA52" s="185" t="s">
        <v>189</v>
      </c>
      <c r="CB52" s="185" t="s">
        <v>189</v>
      </c>
      <c r="CC52" s="185" t="s">
        <v>189</v>
      </c>
      <c r="CD52" s="284"/>
      <c r="CE52" s="188"/>
      <c r="CF52" s="185" t="s">
        <v>211</v>
      </c>
      <c r="CG52" s="185"/>
      <c r="CH52" s="185"/>
      <c r="CI52" s="278"/>
      <c r="CJ52" s="469"/>
    </row>
    <row r="53" spans="2:88" ht="18" customHeight="1">
      <c r="B53" s="35" t="s">
        <v>76</v>
      </c>
      <c r="C53" s="293" t="s">
        <v>99</v>
      </c>
      <c r="D53" s="185" t="s">
        <v>211</v>
      </c>
      <c r="E53" s="186" t="s">
        <v>189</v>
      </c>
      <c r="F53" s="59" t="s">
        <v>189</v>
      </c>
      <c r="G53" s="32" t="s">
        <v>349</v>
      </c>
      <c r="H53" s="184"/>
      <c r="I53" s="186" t="s">
        <v>188</v>
      </c>
      <c r="J53" s="208" t="s">
        <v>189</v>
      </c>
      <c r="K53" s="209" t="s">
        <v>189</v>
      </c>
      <c r="L53" s="194" t="s">
        <v>346</v>
      </c>
      <c r="M53" s="435"/>
      <c r="N53" s="186" t="s">
        <v>188</v>
      </c>
      <c r="O53" s="208" t="s">
        <v>189</v>
      </c>
      <c r="P53" s="209" t="s">
        <v>189</v>
      </c>
      <c r="Q53" s="194" t="s">
        <v>346</v>
      </c>
      <c r="R53" s="441"/>
      <c r="S53" s="186" t="s">
        <v>188</v>
      </c>
      <c r="T53" s="208" t="s">
        <v>189</v>
      </c>
      <c r="U53" s="209" t="s">
        <v>189</v>
      </c>
      <c r="V53" s="194" t="s">
        <v>346</v>
      </c>
      <c r="W53" s="441"/>
      <c r="X53" s="185" t="s">
        <v>213</v>
      </c>
      <c r="Y53" s="185" t="s">
        <v>213</v>
      </c>
      <c r="Z53" s="186" t="s">
        <v>213</v>
      </c>
      <c r="AA53" s="123"/>
      <c r="AB53" s="184"/>
      <c r="AC53" s="185" t="s">
        <v>189</v>
      </c>
      <c r="AD53" s="186" t="s">
        <v>189</v>
      </c>
      <c r="AE53" s="186" t="s">
        <v>189</v>
      </c>
      <c r="AF53" s="123"/>
      <c r="AG53" s="184"/>
      <c r="AH53" s="185" t="s">
        <v>189</v>
      </c>
      <c r="AI53" s="185" t="s">
        <v>189</v>
      </c>
      <c r="AJ53" s="185" t="s">
        <v>189</v>
      </c>
      <c r="AK53" s="303"/>
      <c r="AL53" s="184"/>
      <c r="AM53" s="185" t="s">
        <v>189</v>
      </c>
      <c r="AN53" s="185" t="s">
        <v>189</v>
      </c>
      <c r="AO53" s="185" t="s">
        <v>189</v>
      </c>
      <c r="AP53" s="303"/>
      <c r="AQ53" s="184"/>
      <c r="AR53" s="185" t="s">
        <v>189</v>
      </c>
      <c r="AS53" s="186" t="s">
        <v>189</v>
      </c>
      <c r="AT53" s="186" t="s">
        <v>189</v>
      </c>
      <c r="AU53" s="123"/>
      <c r="AV53" s="184"/>
      <c r="AW53" s="185" t="s">
        <v>187</v>
      </c>
      <c r="AX53" s="185" t="s">
        <v>187</v>
      </c>
      <c r="AY53" s="59" t="s">
        <v>189</v>
      </c>
      <c r="AZ53" s="123"/>
      <c r="BA53" s="184"/>
      <c r="BB53" s="185" t="s">
        <v>211</v>
      </c>
      <c r="BC53" s="186" t="s">
        <v>189</v>
      </c>
      <c r="BD53" s="186" t="s">
        <v>189</v>
      </c>
      <c r="BE53" s="123"/>
      <c r="BF53" s="184"/>
      <c r="BG53" s="185" t="s">
        <v>211</v>
      </c>
      <c r="BH53" s="208"/>
      <c r="BI53" s="59"/>
      <c r="BJ53" s="123"/>
      <c r="BK53" s="184"/>
      <c r="BL53" s="185" t="s">
        <v>189</v>
      </c>
      <c r="BM53" s="185" t="s">
        <v>189</v>
      </c>
      <c r="BN53" s="185" t="s">
        <v>189</v>
      </c>
      <c r="BO53" s="123"/>
      <c r="BP53" s="184"/>
      <c r="BQ53" s="185" t="s">
        <v>211</v>
      </c>
      <c r="BR53" s="208"/>
      <c r="BS53" s="59"/>
      <c r="BT53" s="123"/>
      <c r="BU53" s="184"/>
      <c r="BV53" s="185" t="s">
        <v>212</v>
      </c>
      <c r="BW53" s="185" t="s">
        <v>212</v>
      </c>
      <c r="BX53" s="185" t="s">
        <v>212</v>
      </c>
      <c r="BY53" s="288"/>
      <c r="BZ53" s="460"/>
      <c r="CA53" s="185" t="s">
        <v>188</v>
      </c>
      <c r="CB53" s="185" t="s">
        <v>189</v>
      </c>
      <c r="CC53" s="185" t="s">
        <v>189</v>
      </c>
      <c r="CD53" s="288" t="s">
        <v>350</v>
      </c>
      <c r="CE53" s="283"/>
      <c r="CF53" s="185" t="s">
        <v>213</v>
      </c>
      <c r="CG53" s="185"/>
      <c r="CH53" s="185"/>
      <c r="CI53" s="278" t="s">
        <v>351</v>
      </c>
      <c r="CJ53" s="469"/>
    </row>
    <row r="54" spans="2:88" ht="17.25" customHeight="1">
      <c r="B54" s="35" t="s">
        <v>76</v>
      </c>
      <c r="C54" s="291" t="s">
        <v>101</v>
      </c>
      <c r="D54" s="185" t="s">
        <v>211</v>
      </c>
      <c r="E54" s="186" t="s">
        <v>189</v>
      </c>
      <c r="F54" s="59" t="s">
        <v>189</v>
      </c>
      <c r="G54" s="32" t="s">
        <v>324</v>
      </c>
      <c r="H54" s="188"/>
      <c r="I54" s="186" t="s">
        <v>188</v>
      </c>
      <c r="J54" s="208" t="s">
        <v>189</v>
      </c>
      <c r="K54" s="209" t="s">
        <v>189</v>
      </c>
      <c r="L54" s="210" t="s">
        <v>291</v>
      </c>
      <c r="M54" s="435"/>
      <c r="N54" s="186" t="s">
        <v>188</v>
      </c>
      <c r="O54" s="208" t="s">
        <v>189</v>
      </c>
      <c r="P54" s="209" t="s">
        <v>189</v>
      </c>
      <c r="Q54" s="210" t="s">
        <v>291</v>
      </c>
      <c r="R54" s="441"/>
      <c r="S54" s="186" t="s">
        <v>188</v>
      </c>
      <c r="T54" s="208" t="s">
        <v>189</v>
      </c>
      <c r="U54" s="209" t="s">
        <v>189</v>
      </c>
      <c r="V54" s="210" t="s">
        <v>291</v>
      </c>
      <c r="W54" s="441"/>
      <c r="X54" s="185" t="s">
        <v>213</v>
      </c>
      <c r="Y54" s="185" t="s">
        <v>213</v>
      </c>
      <c r="Z54" s="186" t="s">
        <v>213</v>
      </c>
      <c r="AA54" s="195"/>
      <c r="AB54" s="188"/>
      <c r="AC54" s="185" t="s">
        <v>189</v>
      </c>
      <c r="AD54" s="186" t="s">
        <v>189</v>
      </c>
      <c r="AE54" s="186" t="s">
        <v>189</v>
      </c>
      <c r="AF54" s="195"/>
      <c r="AG54" s="188"/>
      <c r="AH54" s="185" t="s">
        <v>187</v>
      </c>
      <c r="AI54" s="185" t="s">
        <v>187</v>
      </c>
      <c r="AJ54" s="185" t="s">
        <v>212</v>
      </c>
      <c r="AK54" s="216"/>
      <c r="AL54" s="188"/>
      <c r="AM54" s="185" t="s">
        <v>187</v>
      </c>
      <c r="AN54" s="185" t="s">
        <v>187</v>
      </c>
      <c r="AO54" s="185" t="s">
        <v>212</v>
      </c>
      <c r="AP54" s="216"/>
      <c r="AQ54" s="188"/>
      <c r="AR54" s="185" t="s">
        <v>189</v>
      </c>
      <c r="AS54" s="186" t="s">
        <v>189</v>
      </c>
      <c r="AT54" s="186" t="s">
        <v>189</v>
      </c>
      <c r="AU54" s="195"/>
      <c r="AV54" s="188"/>
      <c r="AW54" s="185" t="s">
        <v>187</v>
      </c>
      <c r="AX54" s="185" t="s">
        <v>187</v>
      </c>
      <c r="AY54" s="185" t="s">
        <v>189</v>
      </c>
      <c r="AZ54" s="195"/>
      <c r="BA54" s="188"/>
      <c r="BB54" s="185" t="s">
        <v>211</v>
      </c>
      <c r="BC54" s="186" t="s">
        <v>189</v>
      </c>
      <c r="BD54" s="186" t="s">
        <v>189</v>
      </c>
      <c r="BE54" s="195"/>
      <c r="BF54" s="188"/>
      <c r="BG54" s="185" t="s">
        <v>211</v>
      </c>
      <c r="BH54" s="208"/>
      <c r="BI54" s="185"/>
      <c r="BJ54" s="195"/>
      <c r="BK54" s="188"/>
      <c r="BL54" s="185" t="s">
        <v>213</v>
      </c>
      <c r="BM54" s="185" t="s">
        <v>213</v>
      </c>
      <c r="BN54" s="185" t="s">
        <v>213</v>
      </c>
      <c r="BO54" s="195"/>
      <c r="BP54" s="188"/>
      <c r="BQ54" s="185" t="s">
        <v>211</v>
      </c>
      <c r="BR54" s="208"/>
      <c r="BS54" s="185"/>
      <c r="BT54" s="195"/>
      <c r="BU54" s="188"/>
      <c r="BV54" s="185" t="s">
        <v>212</v>
      </c>
      <c r="BW54" s="185" t="s">
        <v>212</v>
      </c>
      <c r="BX54" s="185" t="s">
        <v>212</v>
      </c>
      <c r="BY54" s="195"/>
      <c r="BZ54" s="460"/>
      <c r="CA54" s="185" t="s">
        <v>189</v>
      </c>
      <c r="CB54" s="208" t="s">
        <v>212</v>
      </c>
      <c r="CC54" s="185" t="s">
        <v>189</v>
      </c>
      <c r="CD54" s="195"/>
      <c r="CE54" s="188"/>
      <c r="CF54" s="185" t="s">
        <v>211</v>
      </c>
      <c r="CG54" s="185"/>
      <c r="CH54" s="185"/>
      <c r="CI54" s="278"/>
      <c r="CJ54" s="469"/>
    </row>
    <row r="55" spans="2:88" ht="17">
      <c r="B55" s="35" t="s">
        <v>76</v>
      </c>
      <c r="C55" s="291" t="s">
        <v>103</v>
      </c>
      <c r="D55" s="185" t="s">
        <v>211</v>
      </c>
      <c r="E55" s="186" t="s">
        <v>189</v>
      </c>
      <c r="F55" s="59" t="s">
        <v>189</v>
      </c>
      <c r="G55" s="32" t="s">
        <v>324</v>
      </c>
      <c r="H55" s="188"/>
      <c r="I55" s="185" t="s">
        <v>187</v>
      </c>
      <c r="J55" s="185" t="s">
        <v>187</v>
      </c>
      <c r="K55" s="185" t="s">
        <v>187</v>
      </c>
      <c r="L55" s="149"/>
      <c r="M55" s="435"/>
      <c r="N55" s="185" t="s">
        <v>187</v>
      </c>
      <c r="O55" s="185" t="s">
        <v>187</v>
      </c>
      <c r="P55" s="185" t="s">
        <v>187</v>
      </c>
      <c r="Q55" s="149"/>
      <c r="R55" s="441"/>
      <c r="S55" s="185" t="s">
        <v>187</v>
      </c>
      <c r="T55" s="185" t="s">
        <v>187</v>
      </c>
      <c r="U55" s="185" t="s">
        <v>187</v>
      </c>
      <c r="V55" s="149"/>
      <c r="W55" s="441"/>
      <c r="X55" s="185" t="s">
        <v>189</v>
      </c>
      <c r="Y55" s="185" t="s">
        <v>212</v>
      </c>
      <c r="Z55" s="185" t="s">
        <v>212</v>
      </c>
      <c r="AA55" s="149"/>
      <c r="AB55" s="188"/>
      <c r="AC55" s="185" t="s">
        <v>189</v>
      </c>
      <c r="AD55" s="186" t="s">
        <v>189</v>
      </c>
      <c r="AE55" s="186" t="s">
        <v>189</v>
      </c>
      <c r="AF55" s="149"/>
      <c r="AG55" s="188"/>
      <c r="AH55" s="185" t="s">
        <v>212</v>
      </c>
      <c r="AI55" s="185" t="s">
        <v>212</v>
      </c>
      <c r="AJ55" s="185" t="s">
        <v>189</v>
      </c>
      <c r="AK55" s="299"/>
      <c r="AL55" s="188"/>
      <c r="AM55" s="185" t="s">
        <v>212</v>
      </c>
      <c r="AN55" s="185" t="s">
        <v>212</v>
      </c>
      <c r="AO55" s="185" t="s">
        <v>189</v>
      </c>
      <c r="AP55" s="299"/>
      <c r="AQ55" s="188"/>
      <c r="AR55" s="185" t="s">
        <v>189</v>
      </c>
      <c r="AS55" s="186" t="s">
        <v>189</v>
      </c>
      <c r="AT55" s="186" t="s">
        <v>189</v>
      </c>
      <c r="AU55" s="149"/>
      <c r="AV55" s="188"/>
      <c r="AW55" s="185" t="s">
        <v>187</v>
      </c>
      <c r="AX55" s="185" t="s">
        <v>189</v>
      </c>
      <c r="AY55" s="185" t="s">
        <v>189</v>
      </c>
      <c r="AZ55" s="149"/>
      <c r="BA55" s="188"/>
      <c r="BB55" s="185" t="s">
        <v>211</v>
      </c>
      <c r="BC55" s="186" t="s">
        <v>189</v>
      </c>
      <c r="BD55" s="186" t="s">
        <v>189</v>
      </c>
      <c r="BE55" s="149"/>
      <c r="BF55" s="188"/>
      <c r="BG55" s="185" t="s">
        <v>211</v>
      </c>
      <c r="BH55" s="185"/>
      <c r="BI55" s="185"/>
      <c r="BJ55" s="149"/>
      <c r="BK55" s="188"/>
      <c r="BL55" s="185" t="s">
        <v>189</v>
      </c>
      <c r="BM55" s="185" t="s">
        <v>189</v>
      </c>
      <c r="BN55" s="185" t="s">
        <v>189</v>
      </c>
      <c r="BO55" s="149"/>
      <c r="BP55" s="188"/>
      <c r="BQ55" s="185" t="s">
        <v>211</v>
      </c>
      <c r="BR55" s="185"/>
      <c r="BS55" s="185"/>
      <c r="BT55" s="149"/>
      <c r="BU55" s="188"/>
      <c r="BV55" s="185" t="s">
        <v>189</v>
      </c>
      <c r="BW55" s="185" t="s">
        <v>189</v>
      </c>
      <c r="BX55" s="185" t="s">
        <v>189</v>
      </c>
      <c r="BY55" s="284"/>
      <c r="BZ55" s="460"/>
      <c r="CA55" s="185" t="s">
        <v>189</v>
      </c>
      <c r="CB55" s="185"/>
      <c r="CC55" s="185"/>
      <c r="CD55" s="284"/>
      <c r="CE55" s="188"/>
      <c r="CF55" s="185" t="s">
        <v>211</v>
      </c>
      <c r="CG55" s="185"/>
      <c r="CH55" s="185"/>
      <c r="CI55" s="278" t="s">
        <v>352</v>
      </c>
      <c r="CJ55" s="469"/>
    </row>
    <row r="56" spans="2:88" ht="17.25" customHeight="1">
      <c r="B56" s="35" t="s">
        <v>76</v>
      </c>
      <c r="C56" s="291" t="s">
        <v>105</v>
      </c>
      <c r="D56" s="185" t="s">
        <v>211</v>
      </c>
      <c r="E56" s="186" t="s">
        <v>189</v>
      </c>
      <c r="F56" s="59" t="s">
        <v>189</v>
      </c>
      <c r="G56" s="32" t="s">
        <v>324</v>
      </c>
      <c r="H56" s="188"/>
      <c r="I56" s="185" t="s">
        <v>187</v>
      </c>
      <c r="J56" s="185" t="s">
        <v>187</v>
      </c>
      <c r="K56" s="185" t="s">
        <v>187</v>
      </c>
      <c r="L56" s="149"/>
      <c r="M56" s="436"/>
      <c r="N56" s="185" t="s">
        <v>187</v>
      </c>
      <c r="O56" s="185" t="s">
        <v>187</v>
      </c>
      <c r="P56" s="185" t="s">
        <v>187</v>
      </c>
      <c r="Q56" s="149"/>
      <c r="R56" s="442"/>
      <c r="S56" s="185" t="s">
        <v>187</v>
      </c>
      <c r="T56" s="185" t="s">
        <v>187</v>
      </c>
      <c r="U56" s="185" t="s">
        <v>187</v>
      </c>
      <c r="V56" s="149"/>
      <c r="W56" s="441"/>
      <c r="X56" s="185" t="s">
        <v>187</v>
      </c>
      <c r="Y56" s="185" t="s">
        <v>187</v>
      </c>
      <c r="Z56" s="185" t="s">
        <v>187</v>
      </c>
      <c r="AA56" s="149"/>
      <c r="AB56" s="188"/>
      <c r="AC56" s="185" t="s">
        <v>189</v>
      </c>
      <c r="AD56" s="186" t="s">
        <v>189</v>
      </c>
      <c r="AE56" s="186" t="s">
        <v>189</v>
      </c>
      <c r="AF56" s="149"/>
      <c r="AG56" s="188"/>
      <c r="AH56" s="185" t="s">
        <v>212</v>
      </c>
      <c r="AI56" s="185" t="s">
        <v>212</v>
      </c>
      <c r="AJ56" s="185" t="s">
        <v>188</v>
      </c>
      <c r="AK56" s="299"/>
      <c r="AL56" s="188"/>
      <c r="AM56" s="185" t="s">
        <v>212</v>
      </c>
      <c r="AN56" s="185" t="s">
        <v>212</v>
      </c>
      <c r="AO56" s="185" t="s">
        <v>188</v>
      </c>
      <c r="AP56" s="299"/>
      <c r="AQ56" s="188"/>
      <c r="AR56" s="185" t="s">
        <v>189</v>
      </c>
      <c r="AS56" s="186" t="s">
        <v>189</v>
      </c>
      <c r="AT56" s="186" t="s">
        <v>189</v>
      </c>
      <c r="AU56" s="149"/>
      <c r="AV56" s="188"/>
      <c r="AW56" s="185" t="s">
        <v>187</v>
      </c>
      <c r="AX56" s="185" t="s">
        <v>189</v>
      </c>
      <c r="AY56" s="185" t="s">
        <v>189</v>
      </c>
      <c r="AZ56" s="149"/>
      <c r="BA56" s="188"/>
      <c r="BB56" s="185" t="s">
        <v>211</v>
      </c>
      <c r="BC56" s="186" t="s">
        <v>189</v>
      </c>
      <c r="BD56" s="186" t="s">
        <v>189</v>
      </c>
      <c r="BE56" s="149"/>
      <c r="BF56" s="188"/>
      <c r="BG56" s="185" t="s">
        <v>211</v>
      </c>
      <c r="BH56" s="185"/>
      <c r="BI56" s="185"/>
      <c r="BJ56" s="149"/>
      <c r="BK56" s="188"/>
      <c r="BL56" s="185" t="s">
        <v>189</v>
      </c>
      <c r="BM56" s="185" t="s">
        <v>189</v>
      </c>
      <c r="BN56" s="185" t="s">
        <v>189</v>
      </c>
      <c r="BO56" s="149"/>
      <c r="BP56" s="188"/>
      <c r="BQ56" s="185" t="s">
        <v>211</v>
      </c>
      <c r="BR56" s="185"/>
      <c r="BS56" s="185"/>
      <c r="BT56" s="149"/>
      <c r="BU56" s="188"/>
      <c r="BV56" s="185" t="s">
        <v>187</v>
      </c>
      <c r="BW56" s="185" t="s">
        <v>187</v>
      </c>
      <c r="BX56" s="185" t="s">
        <v>187</v>
      </c>
      <c r="BY56" s="284"/>
      <c r="BZ56" s="461"/>
      <c r="CA56" s="185" t="s">
        <v>188</v>
      </c>
      <c r="CB56" s="185"/>
      <c r="CC56" s="185"/>
      <c r="CD56" s="284"/>
      <c r="CE56" s="188"/>
      <c r="CF56" s="185" t="s">
        <v>187</v>
      </c>
      <c r="CG56" s="185"/>
      <c r="CH56" s="185"/>
      <c r="CI56" s="278"/>
      <c r="CJ56" s="470"/>
    </row>
    <row r="57" spans="2:88" ht="17">
      <c r="B57" s="35" t="s">
        <v>107</v>
      </c>
      <c r="C57" s="52" t="s">
        <v>353</v>
      </c>
      <c r="D57" s="185" t="s">
        <v>212</v>
      </c>
      <c r="E57" s="186" t="s">
        <v>189</v>
      </c>
      <c r="F57" s="59" t="s">
        <v>189</v>
      </c>
      <c r="G57" s="192" t="s">
        <v>354</v>
      </c>
      <c r="H57" s="188"/>
      <c r="I57" s="185" t="s">
        <v>189</v>
      </c>
      <c r="J57" s="59" t="s">
        <v>189</v>
      </c>
      <c r="K57" s="59"/>
      <c r="L57" s="192" t="s">
        <v>355</v>
      </c>
      <c r="M57" s="188"/>
      <c r="N57" s="185" t="s">
        <v>189</v>
      </c>
      <c r="O57" s="59" t="s">
        <v>189</v>
      </c>
      <c r="P57" s="59"/>
      <c r="Q57" s="192" t="s">
        <v>355</v>
      </c>
      <c r="R57" s="192"/>
      <c r="S57" s="185" t="s">
        <v>189</v>
      </c>
      <c r="T57" s="59" t="s">
        <v>189</v>
      </c>
      <c r="U57" s="59"/>
      <c r="V57" s="192" t="s">
        <v>355</v>
      </c>
      <c r="W57" s="442"/>
      <c r="X57" s="185" t="s">
        <v>189</v>
      </c>
      <c r="Y57" s="59" t="s">
        <v>213</v>
      </c>
      <c r="Z57" s="59" t="s">
        <v>212</v>
      </c>
      <c r="AA57" s="192"/>
      <c r="AB57" s="188"/>
      <c r="AC57" s="185" t="s">
        <v>189</v>
      </c>
      <c r="AD57" s="186" t="s">
        <v>189</v>
      </c>
      <c r="AE57" s="186" t="s">
        <v>189</v>
      </c>
      <c r="AF57" s="192"/>
      <c r="AG57" s="188"/>
      <c r="AH57" s="185" t="s">
        <v>187</v>
      </c>
      <c r="AI57" s="185" t="s">
        <v>189</v>
      </c>
      <c r="AJ57" s="185" t="s">
        <v>189</v>
      </c>
      <c r="AK57" s="301"/>
      <c r="AL57" s="188"/>
      <c r="AM57" s="185" t="s">
        <v>187</v>
      </c>
      <c r="AN57" s="185" t="s">
        <v>189</v>
      </c>
      <c r="AO57" s="185" t="s">
        <v>189</v>
      </c>
      <c r="AP57" s="301"/>
      <c r="AQ57" s="188"/>
      <c r="AR57" s="185" t="s">
        <v>189</v>
      </c>
      <c r="AS57" s="186" t="s">
        <v>189</v>
      </c>
      <c r="AT57" s="186" t="s">
        <v>189</v>
      </c>
      <c r="AU57" s="192"/>
      <c r="AV57" s="188"/>
      <c r="AW57" s="185" t="s">
        <v>189</v>
      </c>
      <c r="AX57" s="185" t="s">
        <v>212</v>
      </c>
      <c r="AY57" s="185" t="s">
        <v>212</v>
      </c>
      <c r="AZ57" s="192"/>
      <c r="BA57" s="188"/>
      <c r="BB57" s="185" t="s">
        <v>211</v>
      </c>
      <c r="BC57" s="186" t="s">
        <v>189</v>
      </c>
      <c r="BD57" s="186" t="s">
        <v>189</v>
      </c>
      <c r="BE57" s="192"/>
      <c r="BF57" s="188"/>
      <c r="BG57" s="185" t="s">
        <v>211</v>
      </c>
      <c r="BH57" s="59"/>
      <c r="BI57" s="59"/>
      <c r="BJ57" s="192"/>
      <c r="BK57" s="188"/>
      <c r="BL57" s="185" t="s">
        <v>189</v>
      </c>
      <c r="BM57" s="185" t="s">
        <v>189</v>
      </c>
      <c r="BN57" s="185" t="s">
        <v>189</v>
      </c>
      <c r="BO57" s="192"/>
      <c r="BP57" s="188"/>
      <c r="BQ57" s="185" t="s">
        <v>211</v>
      </c>
      <c r="BR57" s="59"/>
      <c r="BS57" s="59"/>
      <c r="BT57" s="192"/>
      <c r="BU57" s="188"/>
      <c r="BV57" s="185" t="s">
        <v>189</v>
      </c>
      <c r="BW57" s="185" t="s">
        <v>189</v>
      </c>
      <c r="BX57" s="185" t="s">
        <v>189</v>
      </c>
      <c r="BY57" s="192" t="s">
        <v>356</v>
      </c>
      <c r="BZ57" s="462" t="s">
        <v>357</v>
      </c>
      <c r="CA57" s="185" t="s">
        <v>189</v>
      </c>
      <c r="CB57" s="185" t="s">
        <v>189</v>
      </c>
      <c r="CC57" s="185" t="s">
        <v>189</v>
      </c>
      <c r="CD57" s="192"/>
      <c r="CE57" s="188"/>
      <c r="CF57" s="185"/>
      <c r="CG57" s="185"/>
      <c r="CH57" s="185"/>
      <c r="CI57" s="278"/>
      <c r="CJ57" s="468" t="s">
        <v>358</v>
      </c>
    </row>
    <row r="58" spans="2:88" ht="17">
      <c r="B58" s="35" t="s">
        <v>107</v>
      </c>
      <c r="C58" s="60" t="s">
        <v>111</v>
      </c>
      <c r="D58" s="185" t="s">
        <v>212</v>
      </c>
      <c r="E58" s="186" t="s">
        <v>189</v>
      </c>
      <c r="F58" s="59" t="s">
        <v>189</v>
      </c>
      <c r="G58" s="192" t="s">
        <v>354</v>
      </c>
      <c r="H58" s="188"/>
      <c r="I58" s="185" t="s">
        <v>189</v>
      </c>
      <c r="J58" s="59" t="s">
        <v>189</v>
      </c>
      <c r="K58" s="59"/>
      <c r="L58" s="192" t="s">
        <v>355</v>
      </c>
      <c r="M58" s="188"/>
      <c r="N58" s="185" t="s">
        <v>189</v>
      </c>
      <c r="O58" s="59" t="s">
        <v>189</v>
      </c>
      <c r="P58" s="59"/>
      <c r="Q58" s="192" t="s">
        <v>355</v>
      </c>
      <c r="R58" s="192"/>
      <c r="S58" s="185" t="s">
        <v>189</v>
      </c>
      <c r="T58" s="59" t="s">
        <v>189</v>
      </c>
      <c r="U58" s="59"/>
      <c r="V58" s="192" t="s">
        <v>355</v>
      </c>
      <c r="W58" s="192"/>
      <c r="X58" s="185" t="s">
        <v>189</v>
      </c>
      <c r="Y58" s="59" t="s">
        <v>213</v>
      </c>
      <c r="Z58" s="59" t="s">
        <v>212</v>
      </c>
      <c r="AA58" s="192"/>
      <c r="AB58" s="188"/>
      <c r="AC58" s="185" t="s">
        <v>189</v>
      </c>
      <c r="AD58" s="186" t="s">
        <v>189</v>
      </c>
      <c r="AE58" s="186" t="s">
        <v>189</v>
      </c>
      <c r="AF58" s="192"/>
      <c r="AG58" s="188"/>
      <c r="AH58" s="185" t="s">
        <v>187</v>
      </c>
      <c r="AI58" s="185" t="s">
        <v>189</v>
      </c>
      <c r="AJ58" s="185" t="s">
        <v>189</v>
      </c>
      <c r="AK58" s="301"/>
      <c r="AL58" s="188"/>
      <c r="AM58" s="185" t="s">
        <v>187</v>
      </c>
      <c r="AN58" s="185" t="s">
        <v>189</v>
      </c>
      <c r="AO58" s="185" t="s">
        <v>189</v>
      </c>
      <c r="AP58" s="301"/>
      <c r="AQ58" s="188"/>
      <c r="AR58" s="185" t="s">
        <v>189</v>
      </c>
      <c r="AS58" s="186" t="s">
        <v>189</v>
      </c>
      <c r="AT58" s="186" t="s">
        <v>189</v>
      </c>
      <c r="AU58" s="192"/>
      <c r="AV58" s="188"/>
      <c r="AW58" s="185" t="s">
        <v>189</v>
      </c>
      <c r="AX58" s="185" t="s">
        <v>212</v>
      </c>
      <c r="AY58" s="185" t="s">
        <v>212</v>
      </c>
      <c r="AZ58" s="192"/>
      <c r="BA58" s="188"/>
      <c r="BB58" s="185" t="s">
        <v>211</v>
      </c>
      <c r="BC58" s="186" t="s">
        <v>189</v>
      </c>
      <c r="BD58" s="186" t="s">
        <v>189</v>
      </c>
      <c r="BE58" s="192"/>
      <c r="BF58" s="188"/>
      <c r="BG58" s="185" t="s">
        <v>211</v>
      </c>
      <c r="BH58" s="59"/>
      <c r="BI58" s="59"/>
      <c r="BJ58" s="192"/>
      <c r="BK58" s="188"/>
      <c r="BL58" s="185" t="s">
        <v>189</v>
      </c>
      <c r="BM58" s="185" t="s">
        <v>189</v>
      </c>
      <c r="BN58" s="185" t="s">
        <v>189</v>
      </c>
      <c r="BO58" s="192"/>
      <c r="BP58" s="188"/>
      <c r="BQ58" s="185" t="s">
        <v>211</v>
      </c>
      <c r="BR58" s="59"/>
      <c r="BS58" s="59"/>
      <c r="BT58" s="192"/>
      <c r="BU58" s="188"/>
      <c r="BV58" s="185" t="s">
        <v>189</v>
      </c>
      <c r="BW58" s="185" t="s">
        <v>189</v>
      </c>
      <c r="BX58" s="185" t="s">
        <v>189</v>
      </c>
      <c r="BY58" s="192" t="s">
        <v>356</v>
      </c>
      <c r="BZ58" s="463"/>
      <c r="CA58" s="185" t="s">
        <v>189</v>
      </c>
      <c r="CB58" s="185" t="s">
        <v>189</v>
      </c>
      <c r="CC58" s="185" t="s">
        <v>189</v>
      </c>
      <c r="CD58" s="192"/>
      <c r="CE58" s="188"/>
      <c r="CF58" s="185"/>
      <c r="CG58" s="185"/>
      <c r="CH58" s="185"/>
      <c r="CI58" s="278"/>
      <c r="CJ58" s="469"/>
    </row>
    <row r="59" spans="2:88" ht="17">
      <c r="B59" s="35" t="s">
        <v>107</v>
      </c>
      <c r="C59" s="52" t="s">
        <v>113</v>
      </c>
      <c r="D59" s="185" t="s">
        <v>212</v>
      </c>
      <c r="E59" s="186" t="s">
        <v>189</v>
      </c>
      <c r="F59" s="59" t="s">
        <v>189</v>
      </c>
      <c r="G59" s="192" t="s">
        <v>354</v>
      </c>
      <c r="H59" s="188"/>
      <c r="I59" s="185" t="s">
        <v>189</v>
      </c>
      <c r="J59" s="59" t="s">
        <v>189</v>
      </c>
      <c r="K59" s="59"/>
      <c r="L59" s="192" t="s">
        <v>355</v>
      </c>
      <c r="M59" s="188"/>
      <c r="N59" s="185" t="s">
        <v>189</v>
      </c>
      <c r="O59" s="59" t="s">
        <v>189</v>
      </c>
      <c r="P59" s="59"/>
      <c r="Q59" s="192" t="s">
        <v>355</v>
      </c>
      <c r="R59" s="192"/>
      <c r="S59" s="185" t="s">
        <v>189</v>
      </c>
      <c r="T59" s="59" t="s">
        <v>189</v>
      </c>
      <c r="U59" s="59"/>
      <c r="V59" s="192" t="s">
        <v>355</v>
      </c>
      <c r="W59" s="192"/>
      <c r="X59" s="185" t="s">
        <v>189</v>
      </c>
      <c r="Y59" s="59" t="s">
        <v>213</v>
      </c>
      <c r="Z59" s="59" t="s">
        <v>212</v>
      </c>
      <c r="AA59" s="192"/>
      <c r="AB59" s="188"/>
      <c r="AC59" s="185" t="s">
        <v>189</v>
      </c>
      <c r="AD59" s="186" t="s">
        <v>189</v>
      </c>
      <c r="AE59" s="186" t="s">
        <v>189</v>
      </c>
      <c r="AF59" s="192"/>
      <c r="AG59" s="188"/>
      <c r="AH59" s="185" t="s">
        <v>189</v>
      </c>
      <c r="AI59" s="185" t="s">
        <v>189</v>
      </c>
      <c r="AJ59" s="185" t="s">
        <v>189</v>
      </c>
      <c r="AK59" s="301"/>
      <c r="AL59" s="188"/>
      <c r="AM59" s="185" t="s">
        <v>189</v>
      </c>
      <c r="AN59" s="185" t="s">
        <v>189</v>
      </c>
      <c r="AO59" s="185" t="s">
        <v>189</v>
      </c>
      <c r="AP59" s="301"/>
      <c r="AQ59" s="188"/>
      <c r="AR59" s="185" t="s">
        <v>189</v>
      </c>
      <c r="AS59" s="186" t="s">
        <v>189</v>
      </c>
      <c r="AT59" s="186" t="s">
        <v>189</v>
      </c>
      <c r="AU59" s="192"/>
      <c r="AV59" s="188"/>
      <c r="AW59" s="185" t="s">
        <v>189</v>
      </c>
      <c r="AX59" s="185" t="s">
        <v>212</v>
      </c>
      <c r="AY59" s="185" t="s">
        <v>212</v>
      </c>
      <c r="AZ59" s="192"/>
      <c r="BA59" s="188"/>
      <c r="BB59" s="185" t="s">
        <v>211</v>
      </c>
      <c r="BC59" s="186" t="s">
        <v>189</v>
      </c>
      <c r="BD59" s="186" t="s">
        <v>189</v>
      </c>
      <c r="BE59" s="192"/>
      <c r="BF59" s="188"/>
      <c r="BG59" s="185" t="s">
        <v>211</v>
      </c>
      <c r="BH59" s="59"/>
      <c r="BI59" s="59"/>
      <c r="BJ59" s="192"/>
      <c r="BK59" s="188"/>
      <c r="BL59" s="185" t="s">
        <v>189</v>
      </c>
      <c r="BM59" s="185" t="s">
        <v>189</v>
      </c>
      <c r="BN59" s="185" t="s">
        <v>189</v>
      </c>
      <c r="BO59" s="192"/>
      <c r="BP59" s="188"/>
      <c r="BQ59" s="185" t="s">
        <v>211</v>
      </c>
      <c r="BR59" s="59"/>
      <c r="BS59" s="59"/>
      <c r="BT59" s="192"/>
      <c r="BU59" s="188"/>
      <c r="BV59" s="185" t="s">
        <v>189</v>
      </c>
      <c r="BW59" s="185" t="s">
        <v>189</v>
      </c>
      <c r="BX59" s="185" t="s">
        <v>189</v>
      </c>
      <c r="BY59" s="192"/>
      <c r="BZ59" s="463"/>
      <c r="CA59" s="185" t="s">
        <v>189</v>
      </c>
      <c r="CB59" s="185" t="s">
        <v>189</v>
      </c>
      <c r="CC59" s="185" t="s">
        <v>189</v>
      </c>
      <c r="CD59" s="192"/>
      <c r="CE59" s="188"/>
      <c r="CF59" s="185"/>
      <c r="CG59" s="185"/>
      <c r="CH59" s="185"/>
      <c r="CI59" s="278"/>
      <c r="CJ59" s="469"/>
    </row>
    <row r="60" spans="2:88" ht="17">
      <c r="B60" s="35" t="s">
        <v>107</v>
      </c>
      <c r="C60" s="60" t="s">
        <v>115</v>
      </c>
      <c r="D60" s="185" t="s">
        <v>212</v>
      </c>
      <c r="E60" s="186" t="s">
        <v>189</v>
      </c>
      <c r="F60" s="59" t="s">
        <v>189</v>
      </c>
      <c r="G60" s="192" t="s">
        <v>354</v>
      </c>
      <c r="H60" s="188"/>
      <c r="I60" s="185" t="s">
        <v>189</v>
      </c>
      <c r="J60" s="59" t="s">
        <v>189</v>
      </c>
      <c r="K60" s="59"/>
      <c r="L60" s="192" t="s">
        <v>355</v>
      </c>
      <c r="M60" s="188"/>
      <c r="N60" s="185" t="s">
        <v>189</v>
      </c>
      <c r="O60" s="59" t="s">
        <v>189</v>
      </c>
      <c r="P60" s="59"/>
      <c r="Q60" s="192" t="s">
        <v>355</v>
      </c>
      <c r="R60" s="192"/>
      <c r="S60" s="185" t="s">
        <v>189</v>
      </c>
      <c r="T60" s="59" t="s">
        <v>189</v>
      </c>
      <c r="U60" s="59"/>
      <c r="V60" s="192" t="s">
        <v>355</v>
      </c>
      <c r="W60" s="192"/>
      <c r="X60" s="185" t="s">
        <v>189</v>
      </c>
      <c r="Y60" s="59" t="s">
        <v>213</v>
      </c>
      <c r="Z60" s="59" t="s">
        <v>212</v>
      </c>
      <c r="AA60" s="192"/>
      <c r="AB60" s="188"/>
      <c r="AC60" s="185" t="s">
        <v>189</v>
      </c>
      <c r="AD60" s="186" t="s">
        <v>189</v>
      </c>
      <c r="AE60" s="186" t="s">
        <v>189</v>
      </c>
      <c r="AF60" s="192"/>
      <c r="AG60" s="188"/>
      <c r="AH60" s="185" t="s">
        <v>187</v>
      </c>
      <c r="AI60" s="185" t="s">
        <v>189</v>
      </c>
      <c r="AJ60" s="185" t="s">
        <v>189</v>
      </c>
      <c r="AK60" s="301"/>
      <c r="AL60" s="188"/>
      <c r="AM60" s="185" t="s">
        <v>187</v>
      </c>
      <c r="AN60" s="185" t="s">
        <v>189</v>
      </c>
      <c r="AO60" s="185" t="s">
        <v>189</v>
      </c>
      <c r="AP60" s="301"/>
      <c r="AQ60" s="188"/>
      <c r="AR60" s="185" t="s">
        <v>189</v>
      </c>
      <c r="AS60" s="186" t="s">
        <v>189</v>
      </c>
      <c r="AT60" s="186" t="s">
        <v>189</v>
      </c>
      <c r="AU60" s="192"/>
      <c r="AV60" s="188"/>
      <c r="AW60" s="185" t="s">
        <v>189</v>
      </c>
      <c r="AX60" s="185" t="s">
        <v>212</v>
      </c>
      <c r="AY60" s="185" t="s">
        <v>212</v>
      </c>
      <c r="AZ60" s="192"/>
      <c r="BA60" s="188"/>
      <c r="BB60" s="185" t="s">
        <v>211</v>
      </c>
      <c r="BC60" s="186" t="s">
        <v>189</v>
      </c>
      <c r="BD60" s="186" t="s">
        <v>189</v>
      </c>
      <c r="BE60" s="192"/>
      <c r="BF60" s="188"/>
      <c r="BG60" s="185" t="s">
        <v>211</v>
      </c>
      <c r="BH60" s="59"/>
      <c r="BI60" s="59"/>
      <c r="BJ60" s="192"/>
      <c r="BK60" s="188"/>
      <c r="BL60" s="185" t="s">
        <v>189</v>
      </c>
      <c r="BM60" s="185" t="s">
        <v>189</v>
      </c>
      <c r="BN60" s="185" t="s">
        <v>189</v>
      </c>
      <c r="BO60" s="192"/>
      <c r="BP60" s="188"/>
      <c r="BQ60" s="185" t="s">
        <v>211</v>
      </c>
      <c r="BR60" s="59"/>
      <c r="BS60" s="59"/>
      <c r="BT60" s="192"/>
      <c r="BU60" s="188"/>
      <c r="BV60" s="185" t="s">
        <v>189</v>
      </c>
      <c r="BW60" s="185" t="s">
        <v>189</v>
      </c>
      <c r="BX60" s="185" t="s">
        <v>189</v>
      </c>
      <c r="BY60" s="192"/>
      <c r="BZ60" s="463"/>
      <c r="CA60" s="185" t="s">
        <v>189</v>
      </c>
      <c r="CB60" s="185" t="s">
        <v>189</v>
      </c>
      <c r="CC60" s="185" t="s">
        <v>189</v>
      </c>
      <c r="CD60" s="192"/>
      <c r="CE60" s="188"/>
      <c r="CF60" s="185"/>
      <c r="CG60" s="185"/>
      <c r="CH60" s="185"/>
      <c r="CI60" s="278"/>
      <c r="CJ60" s="469"/>
    </row>
    <row r="61" spans="2:88" ht="17">
      <c r="B61" s="35" t="s">
        <v>107</v>
      </c>
      <c r="C61" s="60" t="s">
        <v>117</v>
      </c>
      <c r="D61" s="185" t="s">
        <v>212</v>
      </c>
      <c r="E61" s="186" t="s">
        <v>189</v>
      </c>
      <c r="F61" s="59" t="s">
        <v>189</v>
      </c>
      <c r="G61" s="192" t="s">
        <v>354</v>
      </c>
      <c r="H61" s="188"/>
      <c r="I61" s="185" t="s">
        <v>187</v>
      </c>
      <c r="J61" s="59" t="s">
        <v>187</v>
      </c>
      <c r="K61" s="59"/>
      <c r="L61" s="192" t="s">
        <v>355</v>
      </c>
      <c r="M61" s="188"/>
      <c r="N61" s="185" t="s">
        <v>187</v>
      </c>
      <c r="O61" s="59" t="s">
        <v>187</v>
      </c>
      <c r="P61" s="59"/>
      <c r="Q61" s="192" t="s">
        <v>355</v>
      </c>
      <c r="R61" s="192"/>
      <c r="S61" s="185" t="s">
        <v>187</v>
      </c>
      <c r="T61" s="59" t="s">
        <v>187</v>
      </c>
      <c r="U61" s="59"/>
      <c r="V61" s="192" t="s">
        <v>355</v>
      </c>
      <c r="W61" s="192"/>
      <c r="X61" s="185" t="s">
        <v>189</v>
      </c>
      <c r="Y61" s="59" t="s">
        <v>213</v>
      </c>
      <c r="Z61" s="59" t="s">
        <v>212</v>
      </c>
      <c r="AA61" s="192"/>
      <c r="AB61" s="188"/>
      <c r="AC61" s="185" t="s">
        <v>189</v>
      </c>
      <c r="AD61" s="186" t="s">
        <v>189</v>
      </c>
      <c r="AE61" s="186" t="s">
        <v>189</v>
      </c>
      <c r="AF61" s="192"/>
      <c r="AG61" s="188"/>
      <c r="AH61" s="185" t="s">
        <v>187</v>
      </c>
      <c r="AI61" s="185" t="s">
        <v>189</v>
      </c>
      <c r="AJ61" s="185" t="s">
        <v>189</v>
      </c>
      <c r="AK61" s="301"/>
      <c r="AL61" s="188"/>
      <c r="AM61" s="185" t="s">
        <v>187</v>
      </c>
      <c r="AN61" s="185" t="s">
        <v>189</v>
      </c>
      <c r="AO61" s="185" t="s">
        <v>189</v>
      </c>
      <c r="AP61" s="301"/>
      <c r="AQ61" s="188"/>
      <c r="AR61" s="185" t="s">
        <v>189</v>
      </c>
      <c r="AS61" s="186" t="s">
        <v>189</v>
      </c>
      <c r="AT61" s="186" t="s">
        <v>189</v>
      </c>
      <c r="AU61" s="192"/>
      <c r="AV61" s="188"/>
      <c r="AW61" s="185" t="s">
        <v>189</v>
      </c>
      <c r="AX61" s="185" t="s">
        <v>212</v>
      </c>
      <c r="AY61" s="185" t="s">
        <v>212</v>
      </c>
      <c r="AZ61" s="192"/>
      <c r="BA61" s="188"/>
      <c r="BB61" s="185" t="s">
        <v>211</v>
      </c>
      <c r="BC61" s="186" t="s">
        <v>189</v>
      </c>
      <c r="BD61" s="186" t="s">
        <v>189</v>
      </c>
      <c r="BE61" s="192"/>
      <c r="BF61" s="188"/>
      <c r="BG61" s="185" t="s">
        <v>211</v>
      </c>
      <c r="BH61" s="59"/>
      <c r="BI61" s="59"/>
      <c r="BJ61" s="192"/>
      <c r="BK61" s="188"/>
      <c r="BL61" s="185" t="s">
        <v>189</v>
      </c>
      <c r="BM61" s="185" t="s">
        <v>189</v>
      </c>
      <c r="BN61" s="185" t="s">
        <v>189</v>
      </c>
      <c r="BO61" s="192"/>
      <c r="BP61" s="188"/>
      <c r="BQ61" s="185" t="s">
        <v>211</v>
      </c>
      <c r="BR61" s="59"/>
      <c r="BS61" s="59"/>
      <c r="BT61" s="192"/>
      <c r="BU61" s="188"/>
      <c r="BV61" s="185" t="s">
        <v>189</v>
      </c>
      <c r="BW61" s="185" t="s">
        <v>189</v>
      </c>
      <c r="BX61" s="185" t="s">
        <v>189</v>
      </c>
      <c r="BY61" s="192" t="s">
        <v>356</v>
      </c>
      <c r="BZ61" s="463"/>
      <c r="CA61" s="185" t="s">
        <v>189</v>
      </c>
      <c r="CB61" s="185" t="s">
        <v>189</v>
      </c>
      <c r="CC61" s="185" t="s">
        <v>189</v>
      </c>
      <c r="CD61" s="192"/>
      <c r="CE61" s="188"/>
      <c r="CF61" s="185"/>
      <c r="CG61" s="185"/>
      <c r="CH61" s="185"/>
      <c r="CI61" s="278"/>
      <c r="CJ61" s="469"/>
    </row>
    <row r="62" spans="2:88" ht="17">
      <c r="B62" s="35" t="s">
        <v>107</v>
      </c>
      <c r="C62" s="60" t="s">
        <v>119</v>
      </c>
      <c r="D62" s="185" t="s">
        <v>212</v>
      </c>
      <c r="E62" s="186" t="s">
        <v>189</v>
      </c>
      <c r="F62" s="59" t="s">
        <v>189</v>
      </c>
      <c r="G62" s="192" t="s">
        <v>354</v>
      </c>
      <c r="H62" s="188"/>
      <c r="I62" s="185" t="s">
        <v>189</v>
      </c>
      <c r="J62" s="59"/>
      <c r="K62" s="59"/>
      <c r="L62" s="192" t="s">
        <v>359</v>
      </c>
      <c r="M62" s="188"/>
      <c r="N62" s="185" t="s">
        <v>189</v>
      </c>
      <c r="O62" s="59"/>
      <c r="P62" s="59"/>
      <c r="Q62" s="192" t="s">
        <v>359</v>
      </c>
      <c r="R62" s="192"/>
      <c r="S62" s="185" t="s">
        <v>189</v>
      </c>
      <c r="T62" s="59"/>
      <c r="U62" s="59"/>
      <c r="V62" s="192" t="s">
        <v>359</v>
      </c>
      <c r="W62" s="192"/>
      <c r="X62" s="185" t="s">
        <v>189</v>
      </c>
      <c r="Y62" s="59" t="s">
        <v>213</v>
      </c>
      <c r="Z62" s="59" t="s">
        <v>212</v>
      </c>
      <c r="AA62" s="192"/>
      <c r="AB62" s="188"/>
      <c r="AC62" s="185" t="s">
        <v>189</v>
      </c>
      <c r="AD62" s="186" t="s">
        <v>189</v>
      </c>
      <c r="AE62" s="186" t="s">
        <v>189</v>
      </c>
      <c r="AF62" s="192"/>
      <c r="AG62" s="188"/>
      <c r="AH62" s="185" t="s">
        <v>213</v>
      </c>
      <c r="AI62" s="185" t="s">
        <v>213</v>
      </c>
      <c r="AJ62" s="185" t="s">
        <v>213</v>
      </c>
      <c r="AK62" s="301"/>
      <c r="AL62" s="188"/>
      <c r="AM62" s="185" t="s">
        <v>213</v>
      </c>
      <c r="AN62" s="185" t="s">
        <v>213</v>
      </c>
      <c r="AO62" s="185" t="s">
        <v>213</v>
      </c>
      <c r="AP62" s="301"/>
      <c r="AQ62" s="188"/>
      <c r="AR62" s="185" t="s">
        <v>189</v>
      </c>
      <c r="AS62" s="186" t="s">
        <v>189</v>
      </c>
      <c r="AT62" s="186" t="s">
        <v>189</v>
      </c>
      <c r="AU62" s="192"/>
      <c r="AV62" s="188"/>
      <c r="AW62" s="185" t="s">
        <v>189</v>
      </c>
      <c r="AX62" s="185" t="s">
        <v>212</v>
      </c>
      <c r="AY62" s="185" t="s">
        <v>212</v>
      </c>
      <c r="AZ62" s="192"/>
      <c r="BA62" s="188"/>
      <c r="BB62" s="185" t="s">
        <v>211</v>
      </c>
      <c r="BC62" s="186" t="s">
        <v>189</v>
      </c>
      <c r="BD62" s="186" t="s">
        <v>189</v>
      </c>
      <c r="BE62" s="192"/>
      <c r="BF62" s="188"/>
      <c r="BG62" s="185" t="s">
        <v>211</v>
      </c>
      <c r="BH62" s="59"/>
      <c r="BI62" s="59"/>
      <c r="BJ62" s="192"/>
      <c r="BK62" s="188"/>
      <c r="BL62" s="185" t="s">
        <v>189</v>
      </c>
      <c r="BM62" s="185" t="s">
        <v>189</v>
      </c>
      <c r="BN62" s="185" t="s">
        <v>189</v>
      </c>
      <c r="BO62" s="192"/>
      <c r="BP62" s="188"/>
      <c r="BQ62" s="185" t="s">
        <v>211</v>
      </c>
      <c r="BR62" s="59"/>
      <c r="BS62" s="59"/>
      <c r="BT62" s="192"/>
      <c r="BU62" s="188"/>
      <c r="BV62" s="185" t="s">
        <v>189</v>
      </c>
      <c r="BW62" s="185" t="s">
        <v>189</v>
      </c>
      <c r="BX62" s="185" t="s">
        <v>189</v>
      </c>
      <c r="BY62" s="192" t="s">
        <v>356</v>
      </c>
      <c r="BZ62" s="463"/>
      <c r="CA62" s="185" t="s">
        <v>189</v>
      </c>
      <c r="CB62" s="185" t="s">
        <v>189</v>
      </c>
      <c r="CC62" s="185" t="s">
        <v>189</v>
      </c>
      <c r="CD62" s="192"/>
      <c r="CE62" s="188"/>
      <c r="CF62" s="185"/>
      <c r="CG62" s="185"/>
      <c r="CH62" s="185"/>
      <c r="CI62" s="278"/>
      <c r="CJ62" s="470"/>
    </row>
    <row r="63" spans="2:88" ht="16">
      <c r="B63" s="62"/>
      <c r="C63" s="22"/>
      <c r="D63" s="185"/>
      <c r="E63" s="185"/>
      <c r="F63" s="185"/>
      <c r="G63" s="187"/>
      <c r="H63" s="188"/>
      <c r="I63" s="185"/>
      <c r="J63" s="185"/>
      <c r="K63" s="185"/>
      <c r="L63" s="187"/>
      <c r="M63" s="188"/>
      <c r="N63" s="185"/>
      <c r="O63" s="185"/>
      <c r="P63" s="185"/>
      <c r="Q63" s="187"/>
      <c r="R63" s="187"/>
      <c r="S63" s="185"/>
      <c r="T63" s="185"/>
      <c r="U63" s="185"/>
      <c r="V63" s="187"/>
      <c r="W63" s="187"/>
      <c r="X63" s="185"/>
      <c r="Y63" s="185"/>
      <c r="Z63" s="185"/>
      <c r="AA63" s="187"/>
      <c r="AB63" s="188"/>
      <c r="AC63" s="185"/>
      <c r="AD63" s="186"/>
      <c r="AE63" s="185"/>
      <c r="AF63" s="187"/>
      <c r="AG63" s="188"/>
      <c r="AH63" s="185"/>
      <c r="AI63" s="185"/>
      <c r="AJ63" s="185"/>
      <c r="AK63" s="297"/>
      <c r="AL63" s="188"/>
      <c r="AM63" s="185"/>
      <c r="AN63" s="185"/>
      <c r="AO63" s="185"/>
      <c r="AP63" s="297"/>
      <c r="AQ63" s="188"/>
      <c r="AR63" s="185"/>
      <c r="AS63" s="185"/>
      <c r="AT63" s="185"/>
      <c r="AU63" s="187"/>
      <c r="AV63" s="188"/>
      <c r="AW63" s="185"/>
      <c r="AX63" s="185"/>
      <c r="AY63" s="185"/>
      <c r="AZ63" s="187"/>
      <c r="BA63" s="188"/>
      <c r="BB63" s="185"/>
      <c r="BC63" s="185"/>
      <c r="BD63" s="185"/>
      <c r="BE63" s="187"/>
      <c r="BF63" s="188"/>
      <c r="BG63" s="185"/>
      <c r="BH63" s="185"/>
      <c r="BI63" s="185"/>
      <c r="BJ63" s="187"/>
      <c r="BK63" s="188"/>
      <c r="BL63" s="185"/>
      <c r="BM63" s="185"/>
      <c r="BN63" s="185"/>
      <c r="BO63" s="187"/>
      <c r="BP63" s="188"/>
      <c r="BQ63" s="185"/>
      <c r="BR63" s="185"/>
      <c r="BS63" s="185"/>
      <c r="BT63" s="187"/>
      <c r="BU63" s="188"/>
      <c r="BV63" s="185"/>
      <c r="BW63" s="185"/>
      <c r="BX63" s="185"/>
      <c r="BY63" s="187"/>
      <c r="BZ63" s="464"/>
      <c r="CA63" s="185"/>
      <c r="CB63" s="185"/>
      <c r="CC63" s="185"/>
      <c r="CD63" s="187"/>
      <c r="CE63" s="188"/>
    </row>
  </sheetData>
  <mergeCells count="58">
    <mergeCell ref="BZ43:BZ56"/>
    <mergeCell ref="BZ57:BZ63"/>
    <mergeCell ref="CF11:CJ11"/>
    <mergeCell ref="CJ13:CJ32"/>
    <mergeCell ref="CJ43:CJ56"/>
    <mergeCell ref="CJ57:CJ62"/>
    <mergeCell ref="CA11:CE11"/>
    <mergeCell ref="BV11:BZ11"/>
    <mergeCell ref="CJ33:CJ38"/>
    <mergeCell ref="CJ39:CJ42"/>
    <mergeCell ref="G1:H9"/>
    <mergeCell ref="B1:C8"/>
    <mergeCell ref="B11:C11"/>
    <mergeCell ref="D11:H11"/>
    <mergeCell ref="D10:H10"/>
    <mergeCell ref="B10:C10"/>
    <mergeCell ref="AR10:AV10"/>
    <mergeCell ref="AR11:AV11"/>
    <mergeCell ref="AZ1:BA9"/>
    <mergeCell ref="L1:M9"/>
    <mergeCell ref="I10:M10"/>
    <mergeCell ref="I11:M11"/>
    <mergeCell ref="AA1:AB9"/>
    <mergeCell ref="X10:AB10"/>
    <mergeCell ref="X11:AB11"/>
    <mergeCell ref="Q1:R9"/>
    <mergeCell ref="N10:R10"/>
    <mergeCell ref="N11:R11"/>
    <mergeCell ref="S11:W11"/>
    <mergeCell ref="AM11:AQ11"/>
    <mergeCell ref="AP1:AQ9"/>
    <mergeCell ref="AF1:AG9"/>
    <mergeCell ref="AC10:AG10"/>
    <mergeCell ref="AC11:AG11"/>
    <mergeCell ref="AK1:AL9"/>
    <mergeCell ref="AH10:AL10"/>
    <mergeCell ref="AH11:AL11"/>
    <mergeCell ref="AM10:AQ10"/>
    <mergeCell ref="BT1:BU9"/>
    <mergeCell ref="BQ10:BU10"/>
    <mergeCell ref="BQ11:BU11"/>
    <mergeCell ref="AW10:BA10"/>
    <mergeCell ref="AW11:BA11"/>
    <mergeCell ref="BE1:BF9"/>
    <mergeCell ref="BB10:BF10"/>
    <mergeCell ref="BB11:BF11"/>
    <mergeCell ref="BL10:BP10"/>
    <mergeCell ref="BL11:BP11"/>
    <mergeCell ref="BO1:BP9"/>
    <mergeCell ref="BJ1:BK9"/>
    <mergeCell ref="BG10:BK10"/>
    <mergeCell ref="BG11:BK11"/>
    <mergeCell ref="AU1:AV9"/>
    <mergeCell ref="M33:M56"/>
    <mergeCell ref="R13:R32"/>
    <mergeCell ref="R33:R56"/>
    <mergeCell ref="W13:W32"/>
    <mergeCell ref="W33:W57"/>
  </mergeCells>
  <hyperlinks>
    <hyperlink ref="BZ43" r:id="rId1" display="https://engjira.int.kronos.com/browse/PS-572749" xr:uid="{B71CF3C2-55B1-43D4-A675-E505A67962E0}"/>
    <hyperlink ref="BZ43:BZ56" r:id="rId2" display="PS-572749" xr:uid="{7407EA24-037F-489C-BCF2-0DEAD15FE51D}"/>
    <hyperlink ref="BZ57" r:id="rId3" display="https://engjira.int.kronos.com/browse/PS-572754" xr:uid="{FA70D3CB-8F62-4522-9772-0566D5F3C61D}"/>
    <hyperlink ref="BZ57:BZ63" r:id="rId4" display="PS-572754" xr:uid="{E9BD9964-BAE8-4331-8E2F-C86314A4DD33}"/>
    <hyperlink ref="CI18" r:id="rId5" xr:uid="{0BB0FEF4-5666-43D3-B147-5D58940702B1}"/>
    <hyperlink ref="CJ13" r:id="rId6" display="https://engjira.int.kronos.com/browse/PS-572734" xr:uid="{53DD50F8-4782-46B4-B548-6F53F47DB608}"/>
    <hyperlink ref="CJ13:CJ32" r:id="rId7" display="PS-572734" xr:uid="{FF158979-CE4D-458B-AFCD-DEF0E6FAA157}"/>
    <hyperlink ref="CJ57" r:id="rId8" xr:uid="{5CB7B6E8-3F10-4F19-9D29-01F90484AEBC}"/>
    <hyperlink ref="CJ43" r:id="rId9" xr:uid="{11EF9BC4-F20A-4D7C-9ADE-31105ED60A61}"/>
    <hyperlink ref="CJ33" r:id="rId10" xr:uid="{D4FCF218-08E5-4FAF-B26C-CC5631843065}"/>
    <hyperlink ref="M33:M56" r:id="rId11" display="https://engjira.int.kronos.com/browse/PS-545430" xr:uid="{F9C726B8-17D7-4189-ADB6-F4444E0C42BA}"/>
    <hyperlink ref="R13:R32" r:id="rId12" display="https://engjira.int.kronos.com/browse/PS-545419" xr:uid="{74C6CE0A-F8D5-4C51-9CCF-44D77D4B8C16}"/>
    <hyperlink ref="R33:R56" r:id="rId13" display="https://engjira.int.kronos.com/browse/PS-545427" xr:uid="{F2A5CE0D-770D-48EA-91B3-412E8B467F5C}"/>
    <hyperlink ref="W13:W32" r:id="rId14" display="https://engjira.int.kronos.com/browse/PS-545421" xr:uid="{0078C166-C000-456B-A053-D718C576A7C3}"/>
    <hyperlink ref="W33:W57" r:id="rId15" display="https://engjira.int.kronos.com/browse/PS-545424" xr:uid="{23AD34CC-3028-430D-B457-47BAF4914593}"/>
    <hyperlink ref="M13" r:id="rId16" xr:uid="{C508079F-535A-46E2-9A59-DCC9EB044BE2}"/>
    <hyperlink ref="M14" r:id="rId17" xr:uid="{7830A1E5-C321-4A11-9154-D4DA7059E1E0}"/>
    <hyperlink ref="M15" r:id="rId18" xr:uid="{0FB82FBD-0E06-4198-BBB1-153877E1CDC6}"/>
    <hyperlink ref="L19" r:id="rId19" xr:uid="{341D42AB-4760-44D2-98DD-61B79DE17B37}"/>
    <hyperlink ref="L20" r:id="rId20" xr:uid="{9C10ABBF-D427-486F-979E-4E4DCFF9AB22}"/>
    <hyperlink ref="M21" r:id="rId21" xr:uid="{DB449F63-F1C3-4A5B-841A-100E1F9E4622}"/>
    <hyperlink ref="M24" r:id="rId22" xr:uid="{A414E44E-388A-4559-921A-3CDCA087BE93}"/>
    <hyperlink ref="M25" r:id="rId23" xr:uid="{3EC74221-1B56-4A61-9718-0A98FFA3D1B7}"/>
    <hyperlink ref="L26" r:id="rId24" xr:uid="{4A7624F9-7FB5-4CB6-8B2E-D432C59D3BCA}"/>
    <hyperlink ref="L27" r:id="rId25" xr:uid="{6630C055-C08B-4241-AFCB-D60CE496FC40}"/>
    <hyperlink ref="L28" r:id="rId26" display="https://ukg.grafana.net/goto/cezrnm4ugy3uof?orgId=1" xr:uid="{85E2CF30-B0E1-4AE5-BF19-9A7C9FB29F67}"/>
    <hyperlink ref="M28" r:id="rId27" xr:uid="{E08DA3A5-5764-486F-A021-F19C5E3BD0D3}"/>
    <hyperlink ref="M29" r:id="rId28" xr:uid="{7F0D6FE5-735F-44C6-9B34-01BBFB28172D}"/>
    <hyperlink ref="M30" r:id="rId29" xr:uid="{D0470217-3753-443D-AA1C-5836CA89AAAC}"/>
    <hyperlink ref="M31" r:id="rId30" xr:uid="{2FCE2014-9CAD-4A99-943E-6C5DC59722DF}"/>
    <hyperlink ref="M32" r:id="rId31" xr:uid="{1D74AF32-D2A6-4946-B11A-F02D3F9D903E}"/>
    <hyperlink ref="CJ39" r:id="rId32" display="https://engjira.int.kronos.com/browse/PS-657010" xr:uid="{FF47AAB3-6BC2-44D3-A544-3D81CBAF12F7}"/>
    <hyperlink ref="V13" r:id="rId33" display="https://ukg.grafana.net/d/mu4bkrf/conversational-framework-observability-sre?orgId=1&amp;from=now-7d&amp;to=now&amp;timezone=browser&amp;var-env=DEV&amp;var-datasource=de9azvkj5tudca&amp;var-prom_datasource=edi58rhsvq2v4b&amp;var-multi_region=us-east4&amp;var-environment=dev-staging&amp;var-service=ner&amp;var-endpoint=v2%2Fscore&amp;var-endpoint_data=%2Fner%2Fv2%2Fscore&amp;var-dataset_id=conv_observability_dev_stage_us_81451&amp;var-datacenter=us_east4&amp;var-namespace=ds-staging&amp;var-mongodb_cl_name=privacy-manager-beta-6sysc&amp;viewPanel=panel-38" xr:uid="{3EC24696-8694-4AF6-AD47-7DCD4C9795B7}"/>
    <hyperlink ref="V14" r:id="rId34" xr:uid="{4801F84D-D4A4-4FA9-991B-33A3B2A270F1}"/>
    <hyperlink ref="V15" r:id="rId35" xr:uid="{E7E9EBED-3646-47C2-BD06-24F48403CE65}"/>
    <hyperlink ref="V16" r:id="rId36" xr:uid="{FC77FCF5-C7BE-4CB2-A84C-37260C5C2C19}"/>
    <hyperlink ref="V19" r:id="rId37" xr:uid="{D9529C5C-1323-41C0-94D7-BF0271B7FFEC}"/>
    <hyperlink ref="V20" r:id="rId38" display="https://ukg.grafana.net/d/0VSiotDnk/k8s-cluster-health?var-interval=1m&amp;orgId=1&amp;from=now-6h&amp;to=now&amp;timezone=browser&amp;var-dc=us-east4&amp;var-environment=ds-dev&amp;var-container=service-intent-training-metrics&amp;var-datasource=edi58rhsvq2v4b&amp;refresh=5s&amp;viewPanel=panel-10" xr:uid="{80640906-D88E-4831-9A2B-FDFFF2F08C1E}"/>
  </hyperlinks>
  <pageMargins left="0.7" right="0.7" top="0.75" bottom="0.75" header="0.3" footer="0.3"/>
  <pageSetup paperSize="9" orientation="portrait"/>
  <drawing r:id="rId3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AAA4D-4FB4-D84E-B996-FF112D4DCBE9}">
  <sheetPr codeName="Sheet16"/>
  <dimension ref="A1:N132"/>
  <sheetViews>
    <sheetView zoomScaleNormal="100" workbookViewId="0">
      <selection activeCell="A9" sqref="A9"/>
    </sheetView>
  </sheetViews>
  <sheetFormatPr baseColWidth="10" defaultColWidth="8.83203125" defaultRowHeight="15" customHeight="1"/>
  <cols>
    <col min="1" max="1" width="32.1640625" style="93" bestFit="1" customWidth="1"/>
    <col min="2" max="2" width="34.83203125" style="93" customWidth="1"/>
    <col min="3" max="3" width="10.83203125" style="94" customWidth="1"/>
    <col min="4" max="4" width="34.5" style="93" customWidth="1"/>
    <col min="5" max="5" width="9.5" style="238" customWidth="1"/>
    <col min="6" max="6" width="34.5" style="93" customWidth="1"/>
    <col min="7" max="7" width="8.83203125" style="94"/>
    <col min="8" max="8" width="36" style="93" customWidth="1"/>
    <col min="9" max="9" width="10.33203125" style="94" customWidth="1"/>
    <col min="10" max="10" width="35" style="93" customWidth="1"/>
    <col min="11" max="11" width="8.83203125" style="94"/>
    <col min="12" max="16384" width="8.83203125" style="93"/>
  </cols>
  <sheetData>
    <row r="1" spans="1:3">
      <c r="A1" s="473" t="s">
        <v>360</v>
      </c>
      <c r="B1" s="474"/>
      <c r="C1" s="237" t="s">
        <v>361</v>
      </c>
    </row>
    <row r="2" spans="1:3">
      <c r="A2" s="239" t="str">
        <f>Instructions!B8</f>
        <v>Bryte Activation</v>
      </c>
      <c r="B2" s="240" t="s">
        <v>362</v>
      </c>
      <c r="C2" s="241" t="s">
        <v>151</v>
      </c>
    </row>
    <row r="3" spans="1:3">
      <c r="A3" s="239" t="str">
        <f>Instructions!B9</f>
        <v>Intent Classifier And Entity Recognition</v>
      </c>
      <c r="B3" s="240" t="s">
        <v>363</v>
      </c>
      <c r="C3" s="241" t="s">
        <v>364</v>
      </c>
    </row>
    <row r="4" spans="1:3">
      <c r="A4" s="239" t="str">
        <f>Instructions!B12</f>
        <v>Skills</v>
      </c>
      <c r="B4" s="240" t="s">
        <v>365</v>
      </c>
      <c r="C4" s="241" t="s">
        <v>151</v>
      </c>
    </row>
    <row r="5" spans="1:3">
      <c r="A5" s="239" t="str">
        <f>Instructions!B13</f>
        <v>DSAAS</v>
      </c>
      <c r="B5" s="240" t="s">
        <v>362</v>
      </c>
      <c r="C5" s="241" t="s">
        <v>151</v>
      </c>
    </row>
    <row r="6" spans="1:3">
      <c r="A6" s="239" t="str">
        <f>Instructions!B14</f>
        <v>RAG</v>
      </c>
      <c r="B6" s="240" t="s">
        <v>365</v>
      </c>
      <c r="C6" s="241" t="s">
        <v>151</v>
      </c>
    </row>
    <row r="7" spans="1:3">
      <c r="A7" s="239" t="str">
        <f>Instructions!B15</f>
        <v>Agent Framework</v>
      </c>
      <c r="B7" s="240" t="s">
        <v>365</v>
      </c>
      <c r="C7" s="241" t="s">
        <v>151</v>
      </c>
    </row>
    <row r="8" spans="1:3">
      <c r="A8" s="239" t="str">
        <f>Instructions!B16</f>
        <v>URIKA</v>
      </c>
      <c r="B8" s="240" t="s">
        <v>365</v>
      </c>
      <c r="C8" s="241" t="s">
        <v>151</v>
      </c>
    </row>
    <row r="9" spans="1:3">
      <c r="A9" s="239" t="s">
        <v>140</v>
      </c>
      <c r="B9" s="240" t="s">
        <v>363</v>
      </c>
      <c r="C9" s="241" t="s">
        <v>366</v>
      </c>
    </row>
    <row r="10" spans="1:3">
      <c r="A10" s="239" t="s">
        <v>367</v>
      </c>
      <c r="B10" s="240" t="s">
        <v>363</v>
      </c>
      <c r="C10" s="241" t="s">
        <v>366</v>
      </c>
    </row>
    <row r="11" spans="1:3">
      <c r="A11" s="239" t="str">
        <f>Instructions!B17</f>
        <v>Mission Control</v>
      </c>
      <c r="B11" s="240" t="s">
        <v>365</v>
      </c>
      <c r="C11" s="241" t="s">
        <v>151</v>
      </c>
    </row>
    <row r="12" spans="1:3">
      <c r="A12" s="239" t="str">
        <f>Instructions!B18</f>
        <v>UKG GPT</v>
      </c>
      <c r="B12" s="240" t="s">
        <v>365</v>
      </c>
      <c r="C12" s="241" t="s">
        <v>151</v>
      </c>
    </row>
    <row r="13" spans="1:3">
      <c r="A13" s="239" t="str">
        <f>Instructions!B19</f>
        <v>GPTW/DEIB</v>
      </c>
      <c r="B13" s="240" t="s">
        <v>365</v>
      </c>
      <c r="C13" s="241" t="s">
        <v>151</v>
      </c>
    </row>
    <row r="14" spans="1:3">
      <c r="A14" s="239" t="str">
        <f>Instructions!B20</f>
        <v>Tech Platform</v>
      </c>
      <c r="B14" s="240" t="s">
        <v>365</v>
      </c>
      <c r="C14" s="241" t="s">
        <v>151</v>
      </c>
    </row>
    <row r="15" spans="1:3">
      <c r="A15" s="239" t="str">
        <f>Instructions!B21</f>
        <v>PGE</v>
      </c>
      <c r="B15" s="240" t="s">
        <v>365</v>
      </c>
      <c r="C15" s="241" t="s">
        <v>151</v>
      </c>
    </row>
    <row r="17" spans="1:11" ht="21.75" customHeight="1">
      <c r="A17" s="242">
        <f>SUM(B19,D19,F19,H19,J19)</f>
        <v>0</v>
      </c>
      <c r="B17" s="243" t="s">
        <v>217</v>
      </c>
      <c r="C17" s="244"/>
      <c r="D17" s="245"/>
    </row>
    <row r="18" spans="1:11" ht="18" customHeight="1">
      <c r="A18" s="475" t="s">
        <v>368</v>
      </c>
      <c r="B18" s="476"/>
      <c r="C18" s="476"/>
      <c r="D18" s="476"/>
      <c r="E18" s="476"/>
      <c r="F18" s="476"/>
      <c r="G18" s="476"/>
      <c r="H18" s="476"/>
      <c r="I18" s="476"/>
      <c r="J18" s="476"/>
      <c r="K18" s="476"/>
    </row>
    <row r="19" spans="1:11" ht="24">
      <c r="A19" s="477"/>
      <c r="B19" s="246">
        <f>SUM(B21,B29,B37,B45,B53,B61,B69,B77,B85,B93,B101,B109)</f>
        <v>0</v>
      </c>
      <c r="C19" s="247"/>
      <c r="D19" s="246">
        <f>SUM(D21,D29,D37,D45,D53,D61,D69,D77,D85,D93,D101,D109)</f>
        <v>0</v>
      </c>
      <c r="E19" s="248"/>
      <c r="F19" s="246">
        <f>SUM(F21,F29,F37,F45,F53,F61,F69,F77,F85,F93,F101,F109)</f>
        <v>0</v>
      </c>
      <c r="G19" s="247"/>
      <c r="H19" s="246">
        <f>SUM(H21,H29,H37,H45,H53,H61,H69,H77,H85,H93,H101,H109)</f>
        <v>0</v>
      </c>
      <c r="I19" s="247"/>
      <c r="J19" s="246">
        <f>SUM(J21,J29,J37,J45,J53,J61,J69,J77,J85,J93,J101,J109)</f>
        <v>0</v>
      </c>
      <c r="K19" s="247"/>
    </row>
    <row r="20" spans="1:11">
      <c r="A20" s="478"/>
      <c r="B20" s="479" t="str" cm="1">
        <f t="array" ref="B20">_xlfn.UNIQUE('AI (Maturity Eval)'!$B$13:$B$18)</f>
        <v>Layer 0</v>
      </c>
      <c r="C20" s="480"/>
      <c r="D20" s="479" t="str" cm="1">
        <f t="array" ref="D20">_xlfn.UNIQUE('AI (Maturity Eval)'!$B$19:$B$25)</f>
        <v>Layer 1</v>
      </c>
      <c r="E20" s="480"/>
      <c r="F20" s="479" t="str" cm="1">
        <f t="array" ref="F20">_xlfn.UNIQUE('AI (Maturity Eval)'!$B$26:$B$32)</f>
        <v>Layer 2</v>
      </c>
      <c r="G20" s="480"/>
      <c r="H20" s="479" t="str" cm="1">
        <f t="array" ref="H20">_xlfn.UNIQUE('AI (Maturity Eval)'!$B$33:$B$42)</f>
        <v>Layer 3</v>
      </c>
      <c r="I20" s="480"/>
      <c r="J20" s="479" t="str" cm="1">
        <f t="array" ref="J20">_xlfn.UNIQUE('AI (Maturity Eval)'!$B$43:$B$56)</f>
        <v>Layer 4</v>
      </c>
      <c r="K20" s="480"/>
    </row>
    <row r="21" spans="1:11">
      <c r="A21" s="249">
        <f>SUM(B21,D21,F21,H21,J21)</f>
        <v>0</v>
      </c>
      <c r="B21" s="250">
        <f>COUNTIF(_xlfn.ANCHORARRAY(B22),"*FS-*")</f>
        <v>0</v>
      </c>
      <c r="C21" s="251" t="s">
        <v>369</v>
      </c>
      <c r="D21" s="250">
        <f>COUNTIF(_xlfn.ANCHORARRAY(D22),"*FS-*")</f>
        <v>0</v>
      </c>
      <c r="E21" s="252" t="s">
        <v>369</v>
      </c>
      <c r="F21" s="250">
        <f>COUNTIF(_xlfn.ANCHORARRAY(F22),"*FS-*")</f>
        <v>0</v>
      </c>
      <c r="G21" s="253" t="s">
        <v>369</v>
      </c>
      <c r="H21" s="250">
        <f>COUNTIF(_xlfn.ANCHORARRAY(H22),"*FS-*")</f>
        <v>0</v>
      </c>
      <c r="I21" s="253" t="s">
        <v>369</v>
      </c>
      <c r="J21" s="250">
        <f>COUNTIF(_xlfn.ANCHORARRAY(J22),"*FS-*")</f>
        <v>0</v>
      </c>
      <c r="K21" s="254" t="s">
        <v>369</v>
      </c>
    </row>
    <row r="22" spans="1:11" s="256" customFormat="1" ht="14">
      <c r="A22" s="255" t="str">
        <f>'AI (Maturity Eval)'!$D$11</f>
        <v>Bryte Activation</v>
      </c>
      <c r="B22" s="256" t="str" cm="1">
        <f t="array" ref="B22">IFERROR(_xlfn.UNIQUE(_xlfn._xlws.FILTER('AI (Maturity Eval)'!$H$13:$H$18, ISNUMBER(SEARCH("FS-", 'AI (Maturity Eval)'!$H$13:$H$18)))),"")</f>
        <v/>
      </c>
      <c r="C22" s="257"/>
      <c r="D22" s="256" t="str" cm="1">
        <f t="array" ref="D22">IFERROR(_xlfn.UNIQUE(_xlfn._xlws.FILTER('AI (Maturity Eval)'!$H$19:$H$25, ISNUMBER(SEARCH("FS-", 'AI (Maturity Eval)'!$H$19:$H$25)))),"")</f>
        <v/>
      </c>
      <c r="E22" s="258"/>
      <c r="F22" s="255" t="str" cm="1">
        <f t="array" ref="F22">IFERROR(_xlfn.UNIQUE(_xlfn._xlws.FILTER('AI (Maturity Eval)'!$H$26:$H$32, ISNUMBER(SEARCH("FS-", 'AI (Maturity Eval)'!$H$26:$H$32)))),"")</f>
        <v/>
      </c>
      <c r="G22" s="258"/>
      <c r="H22" s="255" t="str" cm="1">
        <f t="array" ref="H22">IFERROR(_xlfn.UNIQUE(_xlfn._xlws.FILTER('AI (Maturity Eval)'!$H$33:$H$42, ISNUMBER(SEARCH("FS-", 'AI (Maturity Eval)'!$H$33:$H$42)))),"")</f>
        <v/>
      </c>
      <c r="I22" s="259"/>
      <c r="J22" s="260" t="str" cm="1">
        <f t="array" ref="J22">IFERROR(_xlfn.UNIQUE(_xlfn._xlws.FILTER('AI (Maturity Eval)'!$H$43:$H$56, ISNUMBER(SEARCH("FS-", 'AI (Maturity Eval)'!$H$43:$H$56)))),"")</f>
        <v/>
      </c>
      <c r="K22" s="257"/>
    </row>
    <row r="23" spans="1:11" s="256" customFormat="1" ht="14">
      <c r="A23" s="255" t="str">
        <f>'AI (Maturity Eval)'!$D$11</f>
        <v>Bryte Activation</v>
      </c>
      <c r="C23" s="257"/>
      <c r="E23" s="258"/>
      <c r="F23" s="255"/>
      <c r="G23" s="258"/>
      <c r="H23" s="255"/>
      <c r="I23" s="259"/>
      <c r="J23" s="260"/>
      <c r="K23" s="257"/>
    </row>
    <row r="24" spans="1:11" s="256" customFormat="1" ht="14">
      <c r="A24" s="255" t="str">
        <f>'AI (Maturity Eval)'!$D$11</f>
        <v>Bryte Activation</v>
      </c>
      <c r="C24" s="257"/>
      <c r="E24" s="258"/>
      <c r="F24" s="255"/>
      <c r="G24" s="259"/>
      <c r="H24" s="255"/>
      <c r="I24" s="259"/>
      <c r="J24" s="260"/>
      <c r="K24" s="257"/>
    </row>
    <row r="25" spans="1:11" s="256" customFormat="1" ht="14">
      <c r="A25" s="255" t="str">
        <f>'AI (Maturity Eval)'!$D$11</f>
        <v>Bryte Activation</v>
      </c>
      <c r="C25" s="257"/>
      <c r="E25" s="258"/>
      <c r="F25" s="255"/>
      <c r="G25" s="259"/>
      <c r="H25" s="255"/>
      <c r="I25" s="259"/>
      <c r="J25" s="260"/>
      <c r="K25" s="257"/>
    </row>
    <row r="26" spans="1:11" s="256" customFormat="1" ht="14">
      <c r="A26" s="255" t="str">
        <f>'AI (Maturity Eval)'!$D$11</f>
        <v>Bryte Activation</v>
      </c>
      <c r="C26" s="257"/>
      <c r="E26" s="258"/>
      <c r="F26" s="255"/>
      <c r="G26" s="259"/>
      <c r="H26" s="255"/>
      <c r="I26" s="259"/>
      <c r="J26" s="260"/>
      <c r="K26" s="257"/>
    </row>
    <row r="27" spans="1:11" s="256" customFormat="1" ht="14">
      <c r="A27" s="255"/>
      <c r="C27" s="257"/>
      <c r="E27" s="258"/>
      <c r="F27" s="255"/>
      <c r="G27" s="259"/>
      <c r="H27" s="255"/>
      <c r="I27" s="259"/>
      <c r="J27" s="260"/>
      <c r="K27" s="257"/>
    </row>
    <row r="28" spans="1:11" s="256" customFormat="1" ht="14">
      <c r="A28" s="255"/>
      <c r="C28" s="257"/>
      <c r="E28" s="258"/>
      <c r="F28" s="255"/>
      <c r="G28" s="259"/>
      <c r="H28" s="255"/>
      <c r="I28" s="259"/>
      <c r="J28" s="260"/>
      <c r="K28" s="257"/>
    </row>
    <row r="29" spans="1:11" s="256" customFormat="1">
      <c r="A29" s="249">
        <f>SUM(B29,D29,F29,H29,J29)</f>
        <v>0</v>
      </c>
      <c r="B29" s="250">
        <f>COUNTIF(_xlfn.ANCHORARRAY(B30),"*FS-*")</f>
        <v>0</v>
      </c>
      <c r="C29" s="253" t="s">
        <v>369</v>
      </c>
      <c r="D29" s="250">
        <f>COUNTIF(_xlfn.ANCHORARRAY(D30),"*FS-*")</f>
        <v>0</v>
      </c>
      <c r="E29" s="251" t="s">
        <v>369</v>
      </c>
      <c r="F29" s="250">
        <f>COUNTIF(_xlfn.ANCHORARRAY(F30),"*FS-*")</f>
        <v>0</v>
      </c>
      <c r="G29" s="251" t="s">
        <v>369</v>
      </c>
      <c r="H29" s="250">
        <f>COUNTIF(_xlfn.ANCHORARRAY(H30),"*FS-*")</f>
        <v>0</v>
      </c>
      <c r="I29" s="251" t="s">
        <v>369</v>
      </c>
      <c r="J29" s="250">
        <f>COUNTIF(_xlfn.ANCHORARRAY(J30),"*FS-*")</f>
        <v>0</v>
      </c>
      <c r="K29" s="251" t="s">
        <v>369</v>
      </c>
    </row>
    <row r="30" spans="1:11" s="256" customFormat="1" ht="14">
      <c r="A30" s="255" t="str">
        <f>'AI (Maturity Eval)'!$I$11</f>
        <v>Intent Classifier And Entity Recognition</v>
      </c>
      <c r="B30" s="256" t="str" cm="1">
        <f t="array" ref="B30">IFERROR(_xlfn.UNIQUE(_xlfn._xlws.FILTER('AI (Maturity Eval)'!$M$13:$M$18, ISNUMBER(SEARCH("FS-", 'AI (Maturity Eval)'!$M$13:$M$18)))),"")</f>
        <v/>
      </c>
      <c r="C30" s="257"/>
      <c r="D30" s="256" t="str" cm="1">
        <f t="array" ref="D30">IFERROR(_xlfn.UNIQUE(_xlfn._xlws.FILTER('AI (Maturity Eval)'!$M$19:$M$25, ISNUMBER(SEARCH("FS-", 'AI (Maturity Eval)'!$M$19:$M$25)))),"")</f>
        <v/>
      </c>
      <c r="E30" s="258"/>
      <c r="F30" s="255" t="str" cm="1">
        <f t="array" ref="F30">IFERROR(_xlfn.UNIQUE(_xlfn._xlws.FILTER('AI (Maturity Eval)'!$M$26:$M$32, ISNUMBER(SEARCH("FS-", 'AI (Maturity Eval)'!$M$26:$M$32)))),"")</f>
        <v/>
      </c>
      <c r="G30" s="258"/>
      <c r="H30" s="255" t="str" cm="1">
        <f t="array" ref="H30">IFERROR(_xlfn.UNIQUE(_xlfn._xlws.FILTER('AI (Maturity Eval)'!$M$33:$M$42, ISNUMBER(SEARCH("FS-", 'AI (Maturity Eval)'!$M$33:$M$42)))),"")</f>
        <v/>
      </c>
      <c r="I30" s="259"/>
      <c r="J30" s="260" t="str" cm="1">
        <f t="array" ref="J30">IFERROR(_xlfn.UNIQUE(_xlfn._xlws.FILTER('AI (Maturity Eval)'!$M$43:$M$56, ISNUMBER(SEARCH("FS-", 'AI (Maturity Eval)'!$M$43:$M$56)))),"")</f>
        <v/>
      </c>
      <c r="K30" s="257"/>
    </row>
    <row r="31" spans="1:11" s="256" customFormat="1" ht="14">
      <c r="A31" s="255" t="str">
        <f>'AI (Maturity Eval)'!$I$11</f>
        <v>Intent Classifier And Entity Recognition</v>
      </c>
      <c r="C31" s="257"/>
      <c r="E31" s="258"/>
      <c r="F31" s="255"/>
      <c r="G31" s="259"/>
      <c r="H31" s="255"/>
      <c r="I31" s="259"/>
      <c r="J31" s="260"/>
      <c r="K31" s="257"/>
    </row>
    <row r="32" spans="1:11" s="256" customFormat="1" ht="14">
      <c r="A32" s="255" t="str">
        <f>'AI (Maturity Eval)'!$I$11</f>
        <v>Intent Classifier And Entity Recognition</v>
      </c>
      <c r="C32" s="257"/>
      <c r="E32" s="258"/>
      <c r="F32" s="255"/>
      <c r="G32" s="259"/>
      <c r="H32" s="255"/>
      <c r="I32" s="259"/>
      <c r="J32" s="260"/>
      <c r="K32" s="257"/>
    </row>
    <row r="33" spans="1:11" s="256" customFormat="1" ht="14">
      <c r="A33" s="255" t="str">
        <f>'AI (Maturity Eval)'!$I$11</f>
        <v>Intent Classifier And Entity Recognition</v>
      </c>
      <c r="C33" s="257"/>
      <c r="E33" s="258"/>
      <c r="F33" s="255"/>
      <c r="H33" s="255"/>
      <c r="I33" s="259"/>
      <c r="J33" s="260"/>
      <c r="K33" s="257"/>
    </row>
    <row r="34" spans="1:11" s="256" customFormat="1" ht="14">
      <c r="A34" s="255" t="str">
        <f>'AI (Maturity Eval)'!$I$11</f>
        <v>Intent Classifier And Entity Recognition</v>
      </c>
      <c r="C34" s="257"/>
      <c r="E34" s="258"/>
      <c r="F34" s="255"/>
      <c r="G34" s="259"/>
      <c r="H34" s="255"/>
      <c r="I34" s="259"/>
      <c r="J34" s="260"/>
      <c r="K34" s="257"/>
    </row>
    <row r="35" spans="1:11" s="256" customFormat="1" ht="15" customHeight="1">
      <c r="A35" s="255"/>
      <c r="C35" s="257"/>
      <c r="E35" s="258"/>
      <c r="F35" s="255"/>
      <c r="G35" s="259"/>
      <c r="H35" s="255"/>
      <c r="I35" s="259"/>
      <c r="J35" s="260"/>
      <c r="K35" s="257"/>
    </row>
    <row r="36" spans="1:11" s="256" customFormat="1" ht="15" customHeight="1">
      <c r="A36" s="255"/>
      <c r="C36" s="257"/>
      <c r="E36" s="258"/>
      <c r="F36" s="255"/>
      <c r="G36" s="259"/>
      <c r="H36" s="255"/>
      <c r="I36" s="259"/>
      <c r="J36" s="260"/>
      <c r="K36" s="257"/>
    </row>
    <row r="37" spans="1:11" s="256" customFormat="1" ht="15" customHeight="1">
      <c r="A37" s="249">
        <f>SUM(B37,D37,F37,H37,J37)</f>
        <v>0</v>
      </c>
      <c r="B37" s="250">
        <f>COUNTIF(_xlfn.ANCHORARRAY(B38),"*FS-*")</f>
        <v>0</v>
      </c>
      <c r="C37" s="253" t="s">
        <v>369</v>
      </c>
      <c r="D37" s="250">
        <f>COUNTIF(_xlfn.ANCHORARRAY(D38),"*FS-*")</f>
        <v>0</v>
      </c>
      <c r="E37" s="251" t="s">
        <v>369</v>
      </c>
      <c r="F37" s="250">
        <f>COUNTIF(_xlfn.ANCHORARRAY(F38),"*FS-*")</f>
        <v>0</v>
      </c>
      <c r="G37" s="251" t="s">
        <v>369</v>
      </c>
      <c r="H37" s="250">
        <f>COUNTIF(_xlfn.ANCHORARRAY(H38),"*FS-*")</f>
        <v>0</v>
      </c>
      <c r="I37" s="251" t="s">
        <v>369</v>
      </c>
      <c r="J37" s="250">
        <f>COUNTIF(_xlfn.ANCHORARRAY(J38),"*FS-*")</f>
        <v>0</v>
      </c>
      <c r="K37" s="251" t="s">
        <v>369</v>
      </c>
    </row>
    <row r="38" spans="1:11" s="256" customFormat="1" ht="15" customHeight="1">
      <c r="A38" s="255" t="str">
        <f>'AI (Maturity Eval)'!$X$11</f>
        <v>Skills</v>
      </c>
      <c r="B38" s="256" t="str" cm="1">
        <f t="array" ref="B38">IFERROR(_xlfn.UNIQUE(_xlfn._xlws.FILTER('AI (Maturity Eval)'!$AB$13:$AB$18, ISNUMBER(SEARCH("FS-", 'AI (Maturity Eval)'!$AB$13:$AB$18)))),"")</f>
        <v/>
      </c>
      <c r="C38" s="257"/>
      <c r="D38" s="256" t="str" cm="1">
        <f t="array" ref="D38">IFERROR(_xlfn.UNIQUE(_xlfn._xlws.FILTER('AI (Maturity Eval)'!$AB$19:$AB$25, ISNUMBER(SEARCH("FS-", 'AI (Maturity Eval)'!$AB$19:$AB$25)))),"")</f>
        <v/>
      </c>
      <c r="E38" s="258"/>
      <c r="F38" s="255" t="str" cm="1">
        <f t="array" ref="F38">IFERROR(_xlfn.UNIQUE(_xlfn._xlws.FILTER('AI (Maturity Eval)'!$AB$26:$AB$32, ISNUMBER(SEARCH("FS-", 'AI (Maturity Eval)'!$AB$26:$AB$32)))),"")</f>
        <v/>
      </c>
      <c r="G38" s="258"/>
      <c r="H38" s="255" t="str" cm="1">
        <f t="array" ref="H38">IFERROR(_xlfn.UNIQUE(_xlfn._xlws.FILTER('AI (Maturity Eval)'!$AB$33:$AB$42, ISNUMBER(SEARCH("FS-", 'AI (Maturity Eval)'!$AB$33:$AB$42)))),"")</f>
        <v/>
      </c>
      <c r="I38" s="259"/>
      <c r="J38" s="260" t="str" cm="1">
        <f t="array" ref="J38">IFERROR(_xlfn.UNIQUE(_xlfn._xlws.FILTER('AI (Maturity Eval)'!$AB$43:$AB$56, ISNUMBER(SEARCH("FS-", 'AI (Maturity Eval)'!$AB$43:$AB$56)))),"")</f>
        <v/>
      </c>
      <c r="K38" s="257"/>
    </row>
    <row r="39" spans="1:11" s="256" customFormat="1" ht="15" customHeight="1">
      <c r="A39" s="255" t="str">
        <f>'AI (Maturity Eval)'!$X$11</f>
        <v>Skills</v>
      </c>
      <c r="C39" s="257"/>
      <c r="E39" s="258"/>
      <c r="F39" s="255"/>
      <c r="G39" s="259"/>
      <c r="H39" s="255"/>
      <c r="I39" s="259"/>
      <c r="J39" s="260"/>
      <c r="K39" s="257"/>
    </row>
    <row r="40" spans="1:11" s="256" customFormat="1" ht="15" customHeight="1">
      <c r="A40" s="255" t="str">
        <f>'AI (Maturity Eval)'!$X$11</f>
        <v>Skills</v>
      </c>
      <c r="C40" s="257"/>
      <c r="E40" s="258"/>
      <c r="F40" s="255"/>
      <c r="G40" s="259"/>
      <c r="H40" s="255"/>
      <c r="I40" s="259"/>
      <c r="J40" s="260"/>
      <c r="K40" s="257"/>
    </row>
    <row r="41" spans="1:11" s="256" customFormat="1" ht="15" customHeight="1">
      <c r="A41" s="255" t="str">
        <f>'AI (Maturity Eval)'!$X$11</f>
        <v>Skills</v>
      </c>
      <c r="C41" s="257"/>
      <c r="E41" s="258"/>
      <c r="F41" s="255"/>
      <c r="G41" s="259"/>
      <c r="H41" s="255"/>
      <c r="I41" s="259"/>
      <c r="J41" s="260"/>
      <c r="K41" s="257"/>
    </row>
    <row r="42" spans="1:11" s="256" customFormat="1" ht="15" customHeight="1">
      <c r="A42" s="255" t="str">
        <f>'AI (Maturity Eval)'!$X$11</f>
        <v>Skills</v>
      </c>
      <c r="C42" s="257"/>
      <c r="E42" s="258"/>
      <c r="F42" s="255"/>
      <c r="G42" s="259"/>
      <c r="H42" s="255"/>
      <c r="I42" s="259"/>
      <c r="J42" s="260"/>
      <c r="K42" s="257"/>
    </row>
    <row r="43" spans="1:11" s="256" customFormat="1" ht="15" customHeight="1">
      <c r="A43" s="255"/>
      <c r="C43" s="257"/>
      <c r="E43" s="258"/>
      <c r="F43" s="255"/>
      <c r="G43" s="259"/>
      <c r="H43" s="255"/>
      <c r="I43" s="259"/>
      <c r="J43" s="260"/>
      <c r="K43" s="257"/>
    </row>
    <row r="44" spans="1:11" s="256" customFormat="1" ht="15" customHeight="1">
      <c r="A44" s="255"/>
      <c r="C44" s="257"/>
      <c r="E44" s="258"/>
      <c r="F44" s="255"/>
      <c r="G44" s="259"/>
      <c r="H44" s="255"/>
      <c r="I44" s="259"/>
      <c r="J44" s="260"/>
      <c r="K44" s="257"/>
    </row>
    <row r="45" spans="1:11" s="256" customFormat="1" ht="15" customHeight="1">
      <c r="A45" s="249">
        <f>SUM(B45,D45,F45,H45,J45)</f>
        <v>0</v>
      </c>
      <c r="B45" s="250">
        <f>COUNTIF(_xlfn.ANCHORARRAY(B46),"*FS-*")</f>
        <v>0</v>
      </c>
      <c r="C45" s="253" t="s">
        <v>369</v>
      </c>
      <c r="D45" s="250">
        <f>COUNTIF(_xlfn.ANCHORARRAY(D46),"*FS-*")</f>
        <v>0</v>
      </c>
      <c r="E45" s="271" t="s">
        <v>369</v>
      </c>
      <c r="F45" s="250">
        <f>COUNTIF(_xlfn.ANCHORARRAY(F46),"*FS-*")</f>
        <v>0</v>
      </c>
      <c r="G45" s="251" t="s">
        <v>369</v>
      </c>
      <c r="H45" s="250">
        <f>COUNTIF(_xlfn.ANCHORARRAY(H46),"*FS-*")</f>
        <v>0</v>
      </c>
      <c r="I45" s="251" t="s">
        <v>369</v>
      </c>
      <c r="J45" s="250">
        <f>COUNTIF(_xlfn.ANCHORARRAY(J46),"*FS-*")</f>
        <v>0</v>
      </c>
      <c r="K45" s="251" t="s">
        <v>369</v>
      </c>
    </row>
    <row r="46" spans="1:11" s="256" customFormat="1" ht="15" customHeight="1">
      <c r="A46" s="255" t="str">
        <f>'AI (Maturity Eval)'!$AC$11</f>
        <v>DSAAS</v>
      </c>
      <c r="B46" s="256" t="str" cm="1">
        <f t="array" ref="B46">IFERROR(_xlfn.UNIQUE(_xlfn._xlws.FILTER('AI (Maturity Eval)'!$AG$13:$AG$18, ISNUMBER(SEARCH("FS-", 'AI (Maturity Eval)'!$AG$13:$AG$18)))),"")</f>
        <v/>
      </c>
      <c r="C46" s="257"/>
      <c r="D46" s="256" t="str" cm="1">
        <f t="array" ref="D46">IFERROR(_xlfn.UNIQUE(_xlfn._xlws.FILTER('AI (Maturity Eval)'!$AG$19:$AG$25, ISNUMBER(SEARCH("FS-", 'AI (Maturity Eval)'!$AG$19:$AG$25)))),"")</f>
        <v/>
      </c>
      <c r="E46" s="258"/>
      <c r="F46" s="255" t="str" cm="1">
        <f t="array" ref="F46">IFERROR(_xlfn.UNIQUE(_xlfn._xlws.FILTER('AI (Maturity Eval)'!$AG$26:$AG$32, ISNUMBER(SEARCH("FS-", 'AI (Maturity Eval)'!$AG$26:$AG$32)))),"")</f>
        <v/>
      </c>
      <c r="G46" s="258"/>
      <c r="H46" s="255" t="str" cm="1">
        <f t="array" ref="H46">IFERROR(_xlfn.UNIQUE(_xlfn._xlws.FILTER('AI (Maturity Eval)'!$AG$33:$AG$42, ISNUMBER(SEARCH("FS-", 'AI (Maturity Eval)'!$AG$33:$AG$42)))),"")</f>
        <v/>
      </c>
      <c r="I46" s="259"/>
      <c r="J46" s="260" t="str" cm="1">
        <f t="array" ref="J46">IFERROR(_xlfn.UNIQUE(_xlfn._xlws.FILTER('AI (Maturity Eval)'!$AG$43:$AG$56, ISNUMBER(SEARCH("FS-", 'AI (Maturity Eval)'!$AG$43:$AG$56)))),"")</f>
        <v/>
      </c>
      <c r="K46" s="257"/>
    </row>
    <row r="47" spans="1:11" s="256" customFormat="1" ht="15" customHeight="1">
      <c r="A47" s="255" t="str">
        <f>'AI (Maturity Eval)'!$AC$11</f>
        <v>DSAAS</v>
      </c>
      <c r="C47" s="257"/>
      <c r="E47" s="261"/>
      <c r="F47" s="262"/>
      <c r="G47" s="259"/>
      <c r="H47" s="255"/>
      <c r="I47" s="259"/>
      <c r="J47" s="260"/>
      <c r="K47" s="257"/>
    </row>
    <row r="48" spans="1:11" s="256" customFormat="1" ht="15" customHeight="1">
      <c r="A48" s="255" t="str">
        <f>'AI (Maturity Eval)'!$AC$11</f>
        <v>DSAAS</v>
      </c>
      <c r="C48" s="257"/>
      <c r="E48" s="261"/>
      <c r="F48" s="262"/>
      <c r="G48" s="259"/>
      <c r="H48" s="255"/>
      <c r="I48" s="259"/>
      <c r="J48" s="260"/>
      <c r="K48" s="257"/>
    </row>
    <row r="49" spans="1:11" s="256" customFormat="1" ht="15" customHeight="1">
      <c r="A49" s="255" t="str">
        <f>'AI (Maturity Eval)'!$AC$11</f>
        <v>DSAAS</v>
      </c>
      <c r="C49" s="257"/>
      <c r="E49" s="261"/>
      <c r="F49" s="262"/>
      <c r="G49" s="259"/>
      <c r="H49" s="255"/>
      <c r="I49" s="259"/>
      <c r="J49" s="260"/>
      <c r="K49" s="257"/>
    </row>
    <row r="50" spans="1:11" s="256" customFormat="1" ht="15" customHeight="1">
      <c r="A50" s="255" t="str">
        <f>'AI (Maturity Eval)'!$AC$11</f>
        <v>DSAAS</v>
      </c>
      <c r="C50" s="257"/>
      <c r="E50" s="261"/>
      <c r="F50" s="262"/>
      <c r="G50" s="259"/>
      <c r="H50" s="255"/>
      <c r="I50" s="259"/>
      <c r="J50" s="260"/>
      <c r="K50" s="257"/>
    </row>
    <row r="51" spans="1:11" s="256" customFormat="1" ht="15" customHeight="1">
      <c r="A51" s="255"/>
      <c r="C51" s="257"/>
      <c r="E51" s="258"/>
      <c r="F51" s="255"/>
      <c r="G51" s="259"/>
      <c r="H51" s="255"/>
      <c r="I51" s="259"/>
      <c r="J51" s="260"/>
      <c r="K51" s="257"/>
    </row>
    <row r="52" spans="1:11" s="256" customFormat="1" ht="15" customHeight="1">
      <c r="A52" s="255"/>
      <c r="C52" s="257"/>
      <c r="E52" s="258"/>
      <c r="F52" s="255"/>
      <c r="G52" s="259"/>
      <c r="H52" s="255"/>
      <c r="I52" s="259"/>
      <c r="J52" s="260"/>
      <c r="K52" s="257"/>
    </row>
    <row r="53" spans="1:11" s="256" customFormat="1" ht="15" customHeight="1">
      <c r="A53" s="249">
        <f>SUM(B53,D53,F53,H53,J53)</f>
        <v>0</v>
      </c>
      <c r="B53" s="250">
        <f>COUNTIF(_xlfn.ANCHORARRAY(B54),"*FS-*")</f>
        <v>0</v>
      </c>
      <c r="C53" s="253" t="s">
        <v>369</v>
      </c>
      <c r="D53" s="250">
        <f>COUNTIF(_xlfn.ANCHORARRAY(D54),"*FS-*")</f>
        <v>0</v>
      </c>
      <c r="E53" s="251" t="s">
        <v>369</v>
      </c>
      <c r="F53" s="250">
        <f>COUNTIF(_xlfn.ANCHORARRAY(F54),"*FS-*")</f>
        <v>0</v>
      </c>
      <c r="G53" s="251" t="s">
        <v>369</v>
      </c>
      <c r="H53" s="250">
        <f>COUNTIF(_xlfn.ANCHORARRAY(H54),"*FS-*")</f>
        <v>0</v>
      </c>
      <c r="I53" s="251" t="s">
        <v>369</v>
      </c>
      <c r="J53" s="250">
        <f>COUNTIF(_xlfn.ANCHORARRAY(J54),"*FS-*")</f>
        <v>0</v>
      </c>
      <c r="K53" s="251" t="s">
        <v>369</v>
      </c>
    </row>
    <row r="54" spans="1:11" s="256" customFormat="1" ht="15" customHeight="1">
      <c r="A54" s="255" t="str">
        <f>'AI (Maturity Eval)'!$AH$11</f>
        <v>RAG</v>
      </c>
      <c r="B54" s="256" t="str" cm="1">
        <f t="array" ref="B54">IFERROR(_xlfn.UNIQUE(_xlfn._xlws.FILTER('AI (Maturity Eval)'!$AL$13:$AL$18, ISNUMBER(SEARCH("FS-", 'AI (Maturity Eval)'!$AL$13:$AL$18)))),"")</f>
        <v/>
      </c>
      <c r="C54" s="257"/>
      <c r="D54" s="256" t="str" cm="1">
        <f t="array" ref="D54">IFERROR(_xlfn.UNIQUE(_xlfn._xlws.FILTER('AI (Maturity Eval)'!$AL$19:$AL$25, ISNUMBER(SEARCH("FS-", 'AI (Maturity Eval)'!$AL$19:$AL$25)))),"")</f>
        <v/>
      </c>
      <c r="E54" s="258"/>
      <c r="F54" s="255" t="str" cm="1">
        <f t="array" ref="F54">IFERROR(_xlfn.UNIQUE(_xlfn._xlws.FILTER('AI (Maturity Eval)'!$AL$26:$AL$32, ISNUMBER(SEARCH("FS-", 'AI (Maturity Eval)'!$AL$26:$AL$32)))),"")</f>
        <v/>
      </c>
      <c r="G54" s="258"/>
      <c r="H54" s="255" t="str" cm="1">
        <f t="array" ref="H54">IFERROR(_xlfn.UNIQUE(_xlfn._xlws.FILTER('AI (Maturity Eval)'!$AL$33:$AL$42, ISNUMBER(SEARCH("FS-", 'AI (Maturity Eval)'!$AL$33:$AL$42)))),"")</f>
        <v/>
      </c>
      <c r="I54" s="259"/>
      <c r="J54" s="260" t="str" cm="1">
        <f t="array" ref="J54">IFERROR(_xlfn.UNIQUE(_xlfn._xlws.FILTER('AI (Maturity Eval)'!$AL$43:$AL$56, ISNUMBER(SEARCH("FS-", 'AI (Maturity Eval)'!$AL$43:$AL$56)))),"")</f>
        <v/>
      </c>
      <c r="K54" s="257"/>
    </row>
    <row r="55" spans="1:11" s="256" customFormat="1" ht="15" customHeight="1">
      <c r="A55" s="255" t="str">
        <f>'AI (Maturity Eval)'!$AH$11</f>
        <v>RAG</v>
      </c>
      <c r="C55" s="257"/>
      <c r="E55" s="258"/>
      <c r="F55" s="255"/>
      <c r="G55" s="257"/>
      <c r="H55" s="255"/>
      <c r="I55" s="259"/>
      <c r="J55" s="260"/>
      <c r="K55" s="257"/>
    </row>
    <row r="56" spans="1:11" s="256" customFormat="1" ht="15" customHeight="1">
      <c r="A56" s="255" t="str">
        <f>'AI (Maturity Eval)'!$AH$11</f>
        <v>RAG</v>
      </c>
      <c r="C56" s="257"/>
      <c r="E56" s="258"/>
      <c r="F56" s="255"/>
      <c r="G56" s="257"/>
      <c r="H56" s="255"/>
      <c r="I56" s="259"/>
      <c r="J56" s="260"/>
      <c r="K56" s="257"/>
    </row>
    <row r="57" spans="1:11" s="256" customFormat="1" ht="15" customHeight="1">
      <c r="A57" s="255" t="str">
        <f>'AI (Maturity Eval)'!$AH$11</f>
        <v>RAG</v>
      </c>
      <c r="C57" s="257"/>
      <c r="E57" s="258"/>
      <c r="F57" s="255"/>
      <c r="G57" s="257"/>
      <c r="H57" s="255"/>
      <c r="I57" s="263"/>
      <c r="K57" s="257"/>
    </row>
    <row r="58" spans="1:11" s="256" customFormat="1" ht="15" customHeight="1">
      <c r="A58" s="255" t="str">
        <f>'AI (Maturity Eval)'!$AH$11</f>
        <v>RAG</v>
      </c>
      <c r="C58" s="257"/>
      <c r="E58" s="264"/>
      <c r="F58" s="262"/>
      <c r="G58" s="73"/>
      <c r="H58" s="255"/>
      <c r="I58" s="259"/>
      <c r="J58" s="260"/>
      <c r="K58" s="257"/>
    </row>
    <row r="59" spans="1:11" s="256" customFormat="1" ht="15" customHeight="1">
      <c r="A59" s="255"/>
      <c r="C59" s="257"/>
      <c r="E59" s="258"/>
      <c r="F59" s="255"/>
      <c r="G59" s="259"/>
      <c r="H59" s="255"/>
      <c r="I59" s="259"/>
      <c r="J59" s="260"/>
      <c r="K59" s="257"/>
    </row>
    <row r="60" spans="1:11" s="256" customFormat="1" ht="15" customHeight="1">
      <c r="A60" s="265"/>
      <c r="B60" s="266"/>
      <c r="C60" s="267"/>
      <c r="D60" s="266"/>
      <c r="E60" s="268"/>
      <c r="F60" s="265"/>
      <c r="G60" s="269"/>
      <c r="H60" s="265"/>
      <c r="I60" s="269"/>
      <c r="J60" s="270"/>
      <c r="K60" s="267"/>
    </row>
    <row r="61" spans="1:11" s="256" customFormat="1" ht="15" customHeight="1">
      <c r="A61" s="249">
        <f>SUM(B61,D61,F61,H61,J61)</f>
        <v>0</v>
      </c>
      <c r="B61" s="250">
        <f>COUNTIF(_xlfn.ANCHORARRAY(B62),"*FS-*")</f>
        <v>0</v>
      </c>
      <c r="C61" s="253" t="s">
        <v>369</v>
      </c>
      <c r="D61" s="250">
        <f>COUNTIF(_xlfn.ANCHORARRAY(D62),"*FS-*")</f>
        <v>0</v>
      </c>
      <c r="E61" s="251" t="s">
        <v>369</v>
      </c>
      <c r="F61" s="250">
        <f>COUNTIF(_xlfn.ANCHORARRAY(F62),"*FS-*")</f>
        <v>0</v>
      </c>
      <c r="G61" s="251" t="s">
        <v>369</v>
      </c>
      <c r="H61" s="250">
        <f>COUNTIF(_xlfn.ANCHORARRAY(H62),"*FS-*")</f>
        <v>0</v>
      </c>
      <c r="I61" s="251" t="s">
        <v>369</v>
      </c>
      <c r="J61" s="250">
        <f>COUNTIF(_xlfn.ANCHORARRAY(J62),"*FS-*")</f>
        <v>0</v>
      </c>
      <c r="K61" s="251" t="s">
        <v>369</v>
      </c>
    </row>
    <row r="62" spans="1:11" s="256" customFormat="1" ht="15" customHeight="1">
      <c r="A62" s="255" t="str">
        <f>'AI (Maturity Eval)'!$AM$11</f>
        <v>Agent Framework</v>
      </c>
      <c r="B62" s="256" t="str" cm="1">
        <f t="array" ref="B62">IFERROR(_xlfn.UNIQUE(_xlfn._xlws.FILTER('AI (Maturity Eval)'!$AQ$13:$AQ$18, ISNUMBER(SEARCH("FS-", 'AI (Maturity Eval)'!$AQ$13:$AQ$18)))),"")</f>
        <v/>
      </c>
      <c r="C62" s="257"/>
      <c r="D62" s="256" t="str" cm="1">
        <f t="array" ref="D62">IFERROR(_xlfn.UNIQUE(_xlfn._xlws.FILTER('AI (Maturity Eval)'!$AQ$19:$AQ$25, ISNUMBER(SEARCH("FS-", 'AI (Maturity Eval)'!$AQ$19:$AQ$25)))),"")</f>
        <v/>
      </c>
      <c r="E62" s="258"/>
      <c r="F62" s="255" t="str" cm="1">
        <f t="array" ref="F62">IFERROR(_xlfn.UNIQUE(_xlfn._xlws.FILTER('AI (Maturity Eval)'!$AQ$26:$AQ$32, ISNUMBER(SEARCH("FS-", 'AI (Maturity Eval)'!$AQ$26:$AQ$32)))),"")</f>
        <v/>
      </c>
      <c r="G62" s="258"/>
      <c r="H62" s="255" t="str" cm="1">
        <f t="array" ref="H62">IFERROR(_xlfn.UNIQUE(_xlfn._xlws.FILTER('AI (Maturity Eval)'!$AQ$33:$AQ$42, ISNUMBER(SEARCH("FS-", 'AI (Maturity Eval)'!$AQ$33:$AQ$42)))),"")</f>
        <v/>
      </c>
      <c r="I62" s="259"/>
      <c r="J62" s="260" t="str" cm="1">
        <f t="array" ref="J62">IFERROR(_xlfn.UNIQUE(_xlfn._xlws.FILTER('AI (Maturity Eval)'!$AQ$43:$AQ$56, ISNUMBER(SEARCH("FS-", 'AI (Maturity Eval)'!$AQ$43:$AQ$56)))),"")</f>
        <v/>
      </c>
      <c r="K62" s="257"/>
    </row>
    <row r="63" spans="1:11" s="256" customFormat="1" ht="15" customHeight="1">
      <c r="A63" s="255" t="str">
        <f>'AI (Maturity Eval)'!$AM$11</f>
        <v>Agent Framework</v>
      </c>
      <c r="C63" s="257"/>
      <c r="E63" s="258"/>
      <c r="F63" s="255"/>
      <c r="G63" s="257"/>
      <c r="H63" s="255"/>
      <c r="I63" s="259"/>
      <c r="J63" s="260"/>
      <c r="K63" s="257"/>
    </row>
    <row r="64" spans="1:11" s="256" customFormat="1" ht="15" customHeight="1">
      <c r="A64" s="255" t="str">
        <f>'AI (Maturity Eval)'!$AM$11</f>
        <v>Agent Framework</v>
      </c>
      <c r="C64" s="257"/>
      <c r="E64" s="258"/>
      <c r="F64" s="255"/>
      <c r="G64" s="257"/>
      <c r="H64" s="255"/>
      <c r="I64" s="259"/>
      <c r="J64" s="260"/>
      <c r="K64" s="257"/>
    </row>
    <row r="65" spans="1:14" s="256" customFormat="1" ht="15" customHeight="1">
      <c r="A65" s="255" t="str">
        <f>'AI (Maturity Eval)'!$AM$11</f>
        <v>Agent Framework</v>
      </c>
      <c r="C65" s="257"/>
      <c r="E65" s="258"/>
      <c r="F65" s="255"/>
      <c r="G65" s="257"/>
      <c r="H65" s="255"/>
      <c r="I65" s="263"/>
      <c r="K65" s="257"/>
    </row>
    <row r="66" spans="1:14" ht="15" customHeight="1">
      <c r="A66" s="255" t="str">
        <f>'AI (Maturity Eval)'!$AM$11</f>
        <v>Agent Framework</v>
      </c>
      <c r="B66" s="256"/>
      <c r="C66" s="257"/>
      <c r="D66" s="256"/>
      <c r="E66" s="264"/>
      <c r="F66" s="262"/>
      <c r="G66" s="73"/>
      <c r="H66" s="255"/>
      <c r="I66" s="259"/>
      <c r="J66" s="260"/>
      <c r="K66" s="257"/>
      <c r="L66" s="256"/>
      <c r="M66" s="256"/>
      <c r="N66" s="256"/>
    </row>
    <row r="67" spans="1:14" ht="15" customHeight="1">
      <c r="A67" s="255"/>
      <c r="B67" s="256"/>
      <c r="C67" s="257"/>
      <c r="D67" s="256"/>
      <c r="E67" s="258"/>
      <c r="F67" s="255"/>
      <c r="G67" s="259"/>
      <c r="H67" s="255"/>
      <c r="I67" s="259"/>
      <c r="J67" s="260"/>
      <c r="K67" s="257"/>
      <c r="L67" s="256"/>
      <c r="M67" s="256"/>
      <c r="N67" s="256"/>
    </row>
    <row r="68" spans="1:14" ht="15" customHeight="1">
      <c r="A68" s="265"/>
      <c r="B68" s="266"/>
      <c r="C68" s="267"/>
      <c r="D68" s="266"/>
      <c r="E68" s="268"/>
      <c r="F68" s="265"/>
      <c r="G68" s="269"/>
      <c r="H68" s="265"/>
      <c r="I68" s="269"/>
      <c r="J68" s="270"/>
      <c r="K68" s="267"/>
      <c r="L68" s="256"/>
      <c r="M68" s="256"/>
      <c r="N68" s="256"/>
    </row>
    <row r="69" spans="1:14" ht="15" customHeight="1">
      <c r="A69" s="249">
        <f>SUM(B69,D69,F69,H69,J69)</f>
        <v>0</v>
      </c>
      <c r="B69" s="250">
        <f>COUNTIF(_xlfn.ANCHORARRAY(B70),"*FS-*")</f>
        <v>0</v>
      </c>
      <c r="C69" s="253" t="s">
        <v>369</v>
      </c>
      <c r="D69" s="250">
        <f>COUNTIF(_xlfn.ANCHORARRAY(D70),"*FS-*")</f>
        <v>0</v>
      </c>
      <c r="E69" s="251" t="s">
        <v>369</v>
      </c>
      <c r="F69" s="250">
        <f>COUNTIF(_xlfn.ANCHORARRAY(F70),"*FS-*")</f>
        <v>0</v>
      </c>
      <c r="G69" s="251" t="s">
        <v>369</v>
      </c>
      <c r="H69" s="250">
        <f>COUNTIF(_xlfn.ANCHORARRAY(H70),"*FS-*")</f>
        <v>0</v>
      </c>
      <c r="I69" s="251" t="s">
        <v>369</v>
      </c>
      <c r="J69" s="250">
        <f>COUNTIF(_xlfn.ANCHORARRAY(J70),"*FS-*")</f>
        <v>0</v>
      </c>
      <c r="K69" s="251" t="s">
        <v>369</v>
      </c>
      <c r="L69" s="256"/>
      <c r="M69" s="256"/>
      <c r="N69" s="256"/>
    </row>
    <row r="70" spans="1:14" ht="15" customHeight="1">
      <c r="A70" s="255" t="str">
        <f>'AI (Maturity Eval)'!$AR$11</f>
        <v>URIKA</v>
      </c>
      <c r="B70" s="256" t="str" cm="1">
        <f t="array" ref="B70">IFERROR(_xlfn.UNIQUE(_xlfn._xlws.FILTER('AI (Maturity Eval)'!$AV$13:$AV$18, ISNUMBER(SEARCH("FS-", 'AI (Maturity Eval)'!$AV$13:$AV$18)))),"")</f>
        <v/>
      </c>
      <c r="C70" s="257"/>
      <c r="D70" s="256" t="str" cm="1">
        <f t="array" ref="D70">IFERROR(_xlfn.UNIQUE(_xlfn._xlws.FILTER('AI (Maturity Eval)'!$AV$19:$AV$25, ISNUMBER(SEARCH("FS-", 'AI (Maturity Eval)'!$AV$19:$AV$25)))),"")</f>
        <v/>
      </c>
      <c r="E70" s="258"/>
      <c r="F70" s="255" t="str" cm="1">
        <f t="array" ref="F70">IFERROR(_xlfn.UNIQUE(_xlfn._xlws.FILTER('AI (Maturity Eval)'!$AV$26:$AV$32, ISNUMBER(SEARCH("FS-", 'AI (Maturity Eval)'!$AV$26:$AV$32)))),"")</f>
        <v/>
      </c>
      <c r="G70" s="258"/>
      <c r="H70" s="255" t="str" cm="1">
        <f t="array" ref="H70">IFERROR(_xlfn.UNIQUE(_xlfn._xlws.FILTER('AI (Maturity Eval)'!$AV$33:$AV$42, ISNUMBER(SEARCH("FS-", 'AI (Maturity Eval)'!$AV$33:$AV$42)))),"")</f>
        <v/>
      </c>
      <c r="I70" s="259"/>
      <c r="J70" s="260" t="str" cm="1">
        <f t="array" ref="J70">IFERROR(_xlfn.UNIQUE(_xlfn._xlws.FILTER('AI (Maturity Eval)'!$AV$43:$AV$56, ISNUMBER(SEARCH("FS-", 'AI (Maturity Eval)'!$AV$43:$AV$56)))),"")</f>
        <v/>
      </c>
      <c r="K70" s="257"/>
      <c r="L70" s="256"/>
      <c r="M70" s="256"/>
      <c r="N70" s="256"/>
    </row>
    <row r="71" spans="1:14" ht="15" customHeight="1">
      <c r="A71" s="255" t="str">
        <f>'AI (Maturity Eval)'!$AR$11</f>
        <v>URIKA</v>
      </c>
      <c r="B71" s="256"/>
      <c r="C71" s="257"/>
      <c r="D71" s="256"/>
      <c r="E71" s="258"/>
      <c r="F71" s="255"/>
      <c r="G71" s="257"/>
      <c r="H71" s="255"/>
      <c r="I71" s="259"/>
      <c r="J71" s="260"/>
      <c r="K71" s="257"/>
      <c r="L71" s="256"/>
      <c r="M71" s="256"/>
      <c r="N71" s="256"/>
    </row>
    <row r="72" spans="1:14" ht="15" customHeight="1">
      <c r="A72" s="255" t="str">
        <f>'AI (Maturity Eval)'!$AR$11</f>
        <v>URIKA</v>
      </c>
      <c r="B72" s="256"/>
      <c r="C72" s="257"/>
      <c r="D72" s="256"/>
      <c r="E72" s="258"/>
      <c r="F72" s="255"/>
      <c r="G72" s="257"/>
      <c r="H72" s="255"/>
      <c r="I72" s="259"/>
      <c r="J72" s="260"/>
      <c r="K72" s="257"/>
      <c r="L72" s="256"/>
      <c r="M72" s="256"/>
      <c r="N72" s="256"/>
    </row>
    <row r="73" spans="1:14" ht="15" customHeight="1">
      <c r="A73" s="255" t="str">
        <f>'AI (Maturity Eval)'!$AR$11</f>
        <v>URIKA</v>
      </c>
      <c r="B73" s="256"/>
      <c r="C73" s="257"/>
      <c r="D73" s="256"/>
      <c r="E73" s="258"/>
      <c r="F73" s="255"/>
      <c r="G73" s="257"/>
      <c r="H73" s="255"/>
      <c r="I73" s="263"/>
      <c r="J73" s="256"/>
      <c r="K73" s="257"/>
      <c r="L73" s="256"/>
      <c r="M73" s="256"/>
      <c r="N73" s="256"/>
    </row>
    <row r="74" spans="1:14" ht="15" customHeight="1">
      <c r="A74" s="255" t="str">
        <f>'AI (Maturity Eval)'!$AR$11</f>
        <v>URIKA</v>
      </c>
      <c r="B74" s="256"/>
      <c r="C74" s="257"/>
      <c r="D74" s="256"/>
      <c r="E74" s="264"/>
      <c r="F74" s="262"/>
      <c r="G74" s="73"/>
      <c r="H74" s="255"/>
      <c r="I74" s="259"/>
      <c r="J74" s="260"/>
      <c r="K74" s="257"/>
      <c r="L74" s="256"/>
      <c r="M74" s="256"/>
      <c r="N74" s="256"/>
    </row>
    <row r="75" spans="1:14" ht="15" customHeight="1">
      <c r="A75" s="255"/>
      <c r="B75" s="256"/>
      <c r="C75" s="257"/>
      <c r="D75" s="256"/>
      <c r="E75" s="258"/>
      <c r="F75" s="255"/>
      <c r="G75" s="259"/>
      <c r="H75" s="255"/>
      <c r="I75" s="259"/>
      <c r="J75" s="260"/>
      <c r="K75" s="257"/>
      <c r="L75" s="256"/>
      <c r="M75" s="256"/>
      <c r="N75" s="256"/>
    </row>
    <row r="76" spans="1:14" ht="15" customHeight="1">
      <c r="A76" s="265"/>
      <c r="B76" s="266"/>
      <c r="C76" s="267"/>
      <c r="D76" s="266"/>
      <c r="E76" s="268"/>
      <c r="F76" s="265"/>
      <c r="G76" s="269"/>
      <c r="H76" s="265"/>
      <c r="I76" s="269"/>
      <c r="J76" s="270"/>
      <c r="K76" s="267"/>
      <c r="L76" s="256"/>
      <c r="M76" s="256"/>
      <c r="N76" s="256"/>
    </row>
    <row r="77" spans="1:14" ht="15" customHeight="1">
      <c r="A77" s="249">
        <f>SUM(B77,D77,F77,H77,J77)</f>
        <v>0</v>
      </c>
      <c r="B77" s="250">
        <f>COUNTIF(_xlfn.ANCHORARRAY(B78),"*FS-*")</f>
        <v>0</v>
      </c>
      <c r="C77" s="253" t="s">
        <v>369</v>
      </c>
      <c r="D77" s="250">
        <f>COUNTIF(_xlfn.ANCHORARRAY(D78),"*FS-*")</f>
        <v>0</v>
      </c>
      <c r="E77" s="251" t="s">
        <v>369</v>
      </c>
      <c r="F77" s="250">
        <f>COUNTIF(_xlfn.ANCHORARRAY(F78),"*FS-*")</f>
        <v>0</v>
      </c>
      <c r="G77" s="251" t="s">
        <v>369</v>
      </c>
      <c r="H77" s="250">
        <f>COUNTIF(_xlfn.ANCHORARRAY(H78),"*FS-*")</f>
        <v>0</v>
      </c>
      <c r="I77" s="251" t="s">
        <v>369</v>
      </c>
      <c r="J77" s="250">
        <f>COUNTIF(_xlfn.ANCHORARRAY(J78),"*FS-*")</f>
        <v>0</v>
      </c>
      <c r="K77" s="251" t="s">
        <v>369</v>
      </c>
      <c r="L77" s="256"/>
      <c r="M77" s="256"/>
      <c r="N77" s="256"/>
    </row>
    <row r="78" spans="1:14" ht="15" customHeight="1">
      <c r="A78" s="255" t="str">
        <f>'AI (Maturity Eval)'!$AW$11</f>
        <v>Mission Control</v>
      </c>
      <c r="B78" s="256" t="str" cm="1">
        <f t="array" ref="B78">IFERROR(_xlfn.UNIQUE(_xlfn._xlws.FILTER('AI (Maturity Eval)'!$BA$13:$BA$18, ISNUMBER(SEARCH("FS-", 'AI (Maturity Eval)'!$BA$13:$BA$18)))),"")</f>
        <v/>
      </c>
      <c r="C78" s="257"/>
      <c r="D78" s="256" t="str" cm="1">
        <f t="array" ref="D78">IFERROR(_xlfn.UNIQUE(_xlfn._xlws.FILTER('AI (Maturity Eval)'!$BA$19:$BA$25, ISNUMBER(SEARCH("FS-", 'AI (Maturity Eval)'!$BA$19:$BA$25)))),"")</f>
        <v/>
      </c>
      <c r="E78" s="258"/>
      <c r="F78" s="255" t="str" cm="1">
        <f t="array" ref="F78">IFERROR(_xlfn.UNIQUE(_xlfn._xlws.FILTER('AI (Maturity Eval)'!$BA$26:$BA$32, ISNUMBER(SEARCH("FS-", 'AI (Maturity Eval)'!$BA$26:$BA$32)))),"")</f>
        <v/>
      </c>
      <c r="G78" s="258"/>
      <c r="H78" s="255" t="str" cm="1">
        <f t="array" ref="H78">IFERROR(_xlfn.UNIQUE(_xlfn._xlws.FILTER('AI (Maturity Eval)'!$BA$33:$BA$42, ISNUMBER(SEARCH("FS-", 'AI (Maturity Eval)'!$BA$33:$BA$42)))),"")</f>
        <v/>
      </c>
      <c r="I78" s="259"/>
      <c r="J78" s="260" t="str" cm="1">
        <f t="array" ref="J78">IFERROR(_xlfn.UNIQUE(_xlfn._xlws.FILTER('AI (Maturity Eval)'!$BA$43:$BA$56, ISNUMBER(SEARCH("FS-", 'AI (Maturity Eval)'!$BA$43:$BA$56)))),"")</f>
        <v/>
      </c>
      <c r="K78" s="257"/>
      <c r="L78" s="256"/>
      <c r="M78" s="256"/>
      <c r="N78" s="256"/>
    </row>
    <row r="79" spans="1:14" ht="15" customHeight="1">
      <c r="A79" s="255" t="str">
        <f>'AI (Maturity Eval)'!$AW$11</f>
        <v>Mission Control</v>
      </c>
      <c r="B79" s="256"/>
      <c r="C79" s="257"/>
      <c r="D79" s="256"/>
      <c r="E79" s="258"/>
      <c r="F79" s="255"/>
      <c r="G79" s="257"/>
      <c r="H79" s="255"/>
      <c r="I79" s="259"/>
      <c r="J79" s="260"/>
      <c r="K79" s="257"/>
      <c r="L79" s="256"/>
      <c r="M79" s="256"/>
      <c r="N79" s="256"/>
    </row>
    <row r="80" spans="1:14" ht="15" customHeight="1">
      <c r="A80" s="255" t="str">
        <f>'AI (Maturity Eval)'!$AW$11</f>
        <v>Mission Control</v>
      </c>
      <c r="B80" s="256"/>
      <c r="C80" s="257"/>
      <c r="D80" s="256"/>
      <c r="E80" s="258"/>
      <c r="F80" s="255"/>
      <c r="G80" s="257"/>
      <c r="H80" s="255"/>
      <c r="I80" s="259"/>
      <c r="J80" s="260"/>
      <c r="K80" s="257"/>
      <c r="L80" s="256"/>
      <c r="M80" s="256"/>
      <c r="N80" s="256"/>
    </row>
    <row r="81" spans="1:14" ht="15" customHeight="1">
      <c r="A81" s="255" t="str">
        <f>'AI (Maturity Eval)'!$AW$11</f>
        <v>Mission Control</v>
      </c>
      <c r="B81" s="256"/>
      <c r="C81" s="257"/>
      <c r="D81" s="256"/>
      <c r="E81" s="258"/>
      <c r="F81" s="255"/>
      <c r="G81" s="257"/>
      <c r="H81" s="255"/>
      <c r="I81" s="263"/>
      <c r="J81" s="256"/>
      <c r="K81" s="257"/>
      <c r="L81" s="256"/>
      <c r="M81" s="256"/>
      <c r="N81" s="256"/>
    </row>
    <row r="82" spans="1:14" ht="15" customHeight="1">
      <c r="A82" s="255" t="str">
        <f>'AI (Maturity Eval)'!$AW$11</f>
        <v>Mission Control</v>
      </c>
      <c r="B82" s="256"/>
      <c r="C82" s="257"/>
      <c r="D82" s="256"/>
      <c r="E82" s="264"/>
      <c r="F82" s="262"/>
      <c r="G82" s="73"/>
      <c r="H82" s="255"/>
      <c r="I82" s="259"/>
      <c r="J82" s="260"/>
      <c r="K82" s="257"/>
      <c r="L82" s="256"/>
      <c r="M82" s="256"/>
      <c r="N82" s="256"/>
    </row>
    <row r="83" spans="1:14" ht="15" customHeight="1">
      <c r="A83" s="255"/>
      <c r="B83" s="256"/>
      <c r="C83" s="257"/>
      <c r="D83" s="256"/>
      <c r="E83" s="258"/>
      <c r="F83" s="255"/>
      <c r="G83" s="259"/>
      <c r="H83" s="255"/>
      <c r="I83" s="259"/>
      <c r="J83" s="260"/>
      <c r="K83" s="257"/>
      <c r="L83" s="256"/>
      <c r="M83" s="256"/>
      <c r="N83" s="256"/>
    </row>
    <row r="84" spans="1:14" ht="15" customHeight="1">
      <c r="A84" s="265"/>
      <c r="B84" s="266"/>
      <c r="C84" s="267"/>
      <c r="D84" s="266"/>
      <c r="E84" s="268"/>
      <c r="F84" s="265"/>
      <c r="G84" s="269"/>
      <c r="H84" s="265"/>
      <c r="I84" s="269"/>
      <c r="J84" s="270"/>
      <c r="K84" s="267"/>
      <c r="L84" s="256"/>
      <c r="M84" s="256"/>
      <c r="N84" s="256"/>
    </row>
    <row r="85" spans="1:14" ht="15" customHeight="1">
      <c r="A85" s="249">
        <f>SUM(B85,D85,F85,H85,J85)</f>
        <v>0</v>
      </c>
      <c r="B85" s="250">
        <f>COUNTIF(_xlfn.ANCHORARRAY(B86),"*FS-*")</f>
        <v>0</v>
      </c>
      <c r="C85" s="253" t="s">
        <v>369</v>
      </c>
      <c r="D85" s="250">
        <f>COUNTIF(_xlfn.ANCHORARRAY(D86),"*FS-*")</f>
        <v>0</v>
      </c>
      <c r="E85" s="251" t="s">
        <v>369</v>
      </c>
      <c r="F85" s="250">
        <f>COUNTIF(_xlfn.ANCHORARRAY(F86),"*FS-*")</f>
        <v>0</v>
      </c>
      <c r="G85" s="251" t="s">
        <v>369</v>
      </c>
      <c r="H85" s="250">
        <f>COUNTIF(_xlfn.ANCHORARRAY(H86),"*FS-*")</f>
        <v>0</v>
      </c>
      <c r="I85" s="251" t="s">
        <v>369</v>
      </c>
      <c r="J85" s="250">
        <f>COUNTIF(_xlfn.ANCHORARRAY(J86),"*FS-*")</f>
        <v>0</v>
      </c>
      <c r="K85" s="251" t="s">
        <v>369</v>
      </c>
      <c r="L85" s="256"/>
      <c r="M85" s="256"/>
      <c r="N85" s="256"/>
    </row>
    <row r="86" spans="1:14" ht="15" customHeight="1">
      <c r="A86" s="255" t="str">
        <f>'AI (Maturity Eval)'!$BB$11</f>
        <v>UKG GPT</v>
      </c>
      <c r="B86" s="256" t="str" cm="1">
        <f t="array" ref="B86">IFERROR(_xlfn.UNIQUE(_xlfn._xlws.FILTER('AI (Maturity Eval)'!$BF$13:$BF$18, ISNUMBER(SEARCH("FS-", 'AI (Maturity Eval)'!$BF$13:$BF$18)))),"")</f>
        <v/>
      </c>
      <c r="C86" s="257"/>
      <c r="D86" s="256" t="str" cm="1">
        <f t="array" ref="D86">IFERROR(_xlfn.UNIQUE(_xlfn._xlws.FILTER('AI (Maturity Eval)'!$BF$19:$BF$25, ISNUMBER(SEARCH("FS-", 'AI (Maturity Eval)'!$BF$19:$BF$25)))),"")</f>
        <v/>
      </c>
      <c r="E86" s="258"/>
      <c r="F86" s="255" t="str" cm="1">
        <f t="array" ref="F86">IFERROR(_xlfn.UNIQUE(_xlfn._xlws.FILTER('AI (Maturity Eval)'!$BF$26:$BF$32, ISNUMBER(SEARCH("FS-", 'AI (Maturity Eval)'!$BF$26:$BF$32)))),"")</f>
        <v/>
      </c>
      <c r="G86" s="258"/>
      <c r="H86" s="255" t="str" cm="1">
        <f t="array" ref="H86">IFERROR(_xlfn.UNIQUE(_xlfn._xlws.FILTER('AI (Maturity Eval)'!$BF$33:$BF$42, ISNUMBER(SEARCH("FS-", 'AI (Maturity Eval)'!$BF$33:$BF$42)))),"")</f>
        <v/>
      </c>
      <c r="I86" s="259"/>
      <c r="J86" s="260" t="str" cm="1">
        <f t="array" ref="J86">IFERROR(_xlfn.UNIQUE(_xlfn._xlws.FILTER('AI (Maturity Eval)'!$BF$43:$BF$56, ISNUMBER(SEARCH("FS-", 'AI (Maturity Eval)'!$BF$43:$BF$56)))),"")</f>
        <v/>
      </c>
      <c r="K86" s="257"/>
      <c r="L86" s="256"/>
      <c r="M86" s="256"/>
      <c r="N86" s="256"/>
    </row>
    <row r="87" spans="1:14" ht="15" customHeight="1">
      <c r="A87" s="255" t="str">
        <f>'AI (Maturity Eval)'!$BB$11</f>
        <v>UKG GPT</v>
      </c>
      <c r="B87" s="256"/>
      <c r="C87" s="257"/>
      <c r="D87" s="256"/>
      <c r="E87" s="258"/>
      <c r="F87" s="255"/>
      <c r="G87" s="257"/>
      <c r="H87" s="255"/>
      <c r="I87" s="259"/>
      <c r="J87" s="260"/>
      <c r="K87" s="257"/>
      <c r="L87" s="256"/>
      <c r="M87" s="256"/>
      <c r="N87" s="256"/>
    </row>
    <row r="88" spans="1:14" ht="15" customHeight="1">
      <c r="A88" s="255" t="str">
        <f>'AI (Maturity Eval)'!$BB$11</f>
        <v>UKG GPT</v>
      </c>
      <c r="B88" s="256"/>
      <c r="C88" s="257"/>
      <c r="D88" s="256"/>
      <c r="E88" s="258"/>
      <c r="F88" s="255"/>
      <c r="G88" s="257"/>
      <c r="H88" s="255"/>
      <c r="I88" s="259"/>
      <c r="J88" s="260"/>
      <c r="K88" s="257"/>
      <c r="L88" s="256"/>
      <c r="M88" s="256"/>
      <c r="N88" s="256"/>
    </row>
    <row r="89" spans="1:14" ht="15" customHeight="1">
      <c r="A89" s="255" t="str">
        <f>'AI (Maturity Eval)'!$BB$11</f>
        <v>UKG GPT</v>
      </c>
      <c r="B89" s="256"/>
      <c r="C89" s="257"/>
      <c r="D89" s="256"/>
      <c r="E89" s="258"/>
      <c r="F89" s="255"/>
      <c r="G89" s="257"/>
      <c r="H89" s="255"/>
      <c r="I89" s="263"/>
      <c r="J89" s="256"/>
      <c r="K89" s="257"/>
      <c r="L89" s="256"/>
      <c r="M89" s="256"/>
      <c r="N89" s="256"/>
    </row>
    <row r="90" spans="1:14" ht="15" customHeight="1">
      <c r="A90" s="255" t="str">
        <f>'AI (Maturity Eval)'!$BB$11</f>
        <v>UKG GPT</v>
      </c>
      <c r="B90" s="256"/>
      <c r="C90" s="257"/>
      <c r="D90" s="256"/>
      <c r="E90" s="264"/>
      <c r="F90" s="262"/>
      <c r="G90" s="73"/>
      <c r="H90" s="255"/>
      <c r="I90" s="259"/>
      <c r="J90" s="260"/>
      <c r="K90" s="257"/>
      <c r="L90" s="256"/>
      <c r="M90" s="256"/>
      <c r="N90" s="256"/>
    </row>
    <row r="91" spans="1:14" ht="15" customHeight="1">
      <c r="A91" s="255"/>
      <c r="B91" s="256"/>
      <c r="C91" s="257"/>
      <c r="D91" s="256"/>
      <c r="E91" s="258"/>
      <c r="F91" s="255"/>
      <c r="G91" s="259"/>
      <c r="H91" s="255"/>
      <c r="I91" s="259"/>
      <c r="J91" s="260"/>
      <c r="K91" s="257"/>
      <c r="L91" s="256"/>
      <c r="M91" s="256"/>
      <c r="N91" s="256"/>
    </row>
    <row r="92" spans="1:14" ht="15" customHeight="1">
      <c r="A92" s="265"/>
      <c r="B92" s="266"/>
      <c r="C92" s="267"/>
      <c r="D92" s="266"/>
      <c r="E92" s="268"/>
      <c r="F92" s="265"/>
      <c r="G92" s="269"/>
      <c r="H92" s="265"/>
      <c r="I92" s="269"/>
      <c r="J92" s="270"/>
      <c r="K92" s="267"/>
      <c r="L92" s="256"/>
      <c r="M92" s="256"/>
      <c r="N92" s="256"/>
    </row>
    <row r="93" spans="1:14" ht="15" customHeight="1">
      <c r="A93" s="249">
        <f>SUM(B93,D93,F93,H93,J93)</f>
        <v>0</v>
      </c>
      <c r="B93" s="250">
        <f>COUNTIF(_xlfn.ANCHORARRAY(B94),"*FS-*")</f>
        <v>0</v>
      </c>
      <c r="C93" s="253" t="s">
        <v>369</v>
      </c>
      <c r="D93" s="250">
        <f>COUNTIF(_xlfn.ANCHORARRAY(D94),"*FS-*")</f>
        <v>0</v>
      </c>
      <c r="E93" s="251" t="s">
        <v>369</v>
      </c>
      <c r="F93" s="250">
        <f>COUNTIF(_xlfn.ANCHORARRAY(F94),"*FS-*")</f>
        <v>0</v>
      </c>
      <c r="G93" s="251" t="s">
        <v>369</v>
      </c>
      <c r="H93" s="250">
        <f>COUNTIF(_xlfn.ANCHORARRAY(H94),"*FS-*")</f>
        <v>0</v>
      </c>
      <c r="I93" s="251" t="s">
        <v>369</v>
      </c>
      <c r="J93" s="250">
        <f>COUNTIF(_xlfn.ANCHORARRAY(J94),"*FS-*")</f>
        <v>0</v>
      </c>
      <c r="K93" s="251" t="s">
        <v>369</v>
      </c>
      <c r="L93" s="256"/>
      <c r="M93" s="256"/>
      <c r="N93" s="256"/>
    </row>
    <row r="94" spans="1:14" ht="15" customHeight="1">
      <c r="A94" s="255" t="str">
        <f>'AI (Maturity Eval)'!$BG$11</f>
        <v>GPTW/DEIB</v>
      </c>
      <c r="B94" s="256" t="str" cm="1">
        <f t="array" ref="B94">IFERROR(_xlfn.UNIQUE(_xlfn._xlws.FILTER('AI (Maturity Eval)'!$BK$13:$BK$18, ISNUMBER(SEARCH("FS-", 'AI (Maturity Eval)'!$BK$13:$BK$18)))),"")</f>
        <v/>
      </c>
      <c r="C94" s="257"/>
      <c r="D94" s="256" t="str" cm="1">
        <f t="array" ref="D94">IFERROR(_xlfn.UNIQUE(_xlfn._xlws.FILTER('AI (Maturity Eval)'!$BK$19:$BK$25, ISNUMBER(SEARCH("FS-", 'AI (Maturity Eval)'!$BK$19:$BK$25)))),"")</f>
        <v/>
      </c>
      <c r="E94" s="258"/>
      <c r="F94" s="255" t="str" cm="1">
        <f t="array" ref="F94">IFERROR(_xlfn.UNIQUE(_xlfn._xlws.FILTER('AI (Maturity Eval)'!$BK$26:$BK$32, ISNUMBER(SEARCH("FS-", 'AI (Maturity Eval)'!$BK$26:$BK$32)))),"")</f>
        <v/>
      </c>
      <c r="G94" s="258"/>
      <c r="H94" s="255" t="str" cm="1">
        <f t="array" ref="H94">IFERROR(_xlfn.UNIQUE(_xlfn._xlws.FILTER('AI (Maturity Eval)'!$BK$33:$BK$42, ISNUMBER(SEARCH("FS-", 'AI (Maturity Eval)'!$BK$33:$BK$42)))),"")</f>
        <v/>
      </c>
      <c r="I94" s="259"/>
      <c r="J94" s="260" t="str" cm="1">
        <f t="array" ref="J94">IFERROR(_xlfn.UNIQUE(_xlfn._xlws.FILTER('AI (Maturity Eval)'!$BK$43:$BK$56, ISNUMBER(SEARCH("FS-", 'AI (Maturity Eval)'!$BK$43:$BK$56)))),"")</f>
        <v/>
      </c>
      <c r="K94" s="257"/>
      <c r="L94" s="256"/>
      <c r="M94" s="256"/>
      <c r="N94" s="256"/>
    </row>
    <row r="95" spans="1:14" ht="15" customHeight="1">
      <c r="A95" s="255" t="str">
        <f>'AI (Maturity Eval)'!$BG$11</f>
        <v>GPTW/DEIB</v>
      </c>
      <c r="B95" s="256"/>
      <c r="C95" s="257"/>
      <c r="D95" s="256"/>
      <c r="E95" s="258"/>
      <c r="F95" s="255"/>
      <c r="G95" s="257"/>
      <c r="H95" s="255"/>
      <c r="I95" s="259"/>
      <c r="J95" s="260"/>
      <c r="K95" s="257"/>
      <c r="L95" s="256"/>
      <c r="M95" s="256"/>
      <c r="N95" s="256"/>
    </row>
    <row r="96" spans="1:14" ht="15" customHeight="1">
      <c r="A96" s="255" t="str">
        <f>'AI (Maturity Eval)'!$BG$11</f>
        <v>GPTW/DEIB</v>
      </c>
      <c r="B96" s="256"/>
      <c r="C96" s="257"/>
      <c r="D96" s="256"/>
      <c r="E96" s="258"/>
      <c r="F96" s="255"/>
      <c r="G96" s="257"/>
      <c r="H96" s="255"/>
      <c r="I96" s="259"/>
      <c r="J96" s="260"/>
      <c r="K96" s="257"/>
      <c r="L96" s="256"/>
      <c r="M96" s="256"/>
      <c r="N96" s="256"/>
    </row>
    <row r="97" spans="1:14" ht="15" customHeight="1">
      <c r="A97" s="255" t="str">
        <f>'AI (Maturity Eval)'!$BG$11</f>
        <v>GPTW/DEIB</v>
      </c>
      <c r="B97" s="256"/>
      <c r="C97" s="257"/>
      <c r="D97" s="256"/>
      <c r="E97" s="258"/>
      <c r="F97" s="255"/>
      <c r="G97" s="257"/>
      <c r="H97" s="255"/>
      <c r="I97" s="263"/>
      <c r="J97" s="256"/>
      <c r="K97" s="257"/>
      <c r="L97" s="256"/>
      <c r="M97" s="256"/>
      <c r="N97" s="256"/>
    </row>
    <row r="98" spans="1:14" ht="15" customHeight="1">
      <c r="A98" s="255" t="str">
        <f>'AI (Maturity Eval)'!$BG$11</f>
        <v>GPTW/DEIB</v>
      </c>
      <c r="B98" s="256"/>
      <c r="C98" s="257"/>
      <c r="D98" s="256"/>
      <c r="E98" s="264"/>
      <c r="F98" s="262"/>
      <c r="G98" s="73"/>
      <c r="H98" s="255"/>
      <c r="I98" s="259"/>
      <c r="J98" s="260"/>
      <c r="K98" s="257"/>
      <c r="L98" s="256"/>
      <c r="M98" s="256"/>
      <c r="N98" s="256"/>
    </row>
    <row r="99" spans="1:14" ht="15" customHeight="1">
      <c r="A99" s="255"/>
      <c r="B99" s="256"/>
      <c r="C99" s="257"/>
      <c r="D99" s="256"/>
      <c r="E99" s="258"/>
      <c r="F99" s="255"/>
      <c r="G99" s="259"/>
      <c r="H99" s="255"/>
      <c r="I99" s="259"/>
      <c r="J99" s="260"/>
      <c r="K99" s="257"/>
      <c r="L99" s="256"/>
      <c r="M99" s="256"/>
      <c r="N99" s="256"/>
    </row>
    <row r="100" spans="1:14" ht="15" customHeight="1">
      <c r="A100" s="265"/>
      <c r="B100" s="266"/>
      <c r="C100" s="267"/>
      <c r="D100" s="266"/>
      <c r="E100" s="268"/>
      <c r="F100" s="265"/>
      <c r="G100" s="269"/>
      <c r="H100" s="265"/>
      <c r="I100" s="269"/>
      <c r="J100" s="270"/>
      <c r="K100" s="267"/>
      <c r="L100" s="256"/>
      <c r="M100" s="256"/>
      <c r="N100" s="256"/>
    </row>
    <row r="101" spans="1:14" ht="15" customHeight="1">
      <c r="A101" s="249">
        <f>SUM(B101,D101,F101,H101,J101)</f>
        <v>0</v>
      </c>
      <c r="B101" s="250">
        <f>COUNTIF(_xlfn.ANCHORARRAY(B102),"*FS-*")</f>
        <v>0</v>
      </c>
      <c r="C101" s="253" t="s">
        <v>369</v>
      </c>
      <c r="D101" s="250">
        <f>COUNTIF(_xlfn.ANCHORARRAY(D102),"*FS-*")</f>
        <v>0</v>
      </c>
      <c r="E101" s="251" t="s">
        <v>369</v>
      </c>
      <c r="F101" s="250">
        <f>COUNTIF(_xlfn.ANCHORARRAY(F102),"*FS-*")</f>
        <v>0</v>
      </c>
      <c r="G101" s="251" t="s">
        <v>369</v>
      </c>
      <c r="H101" s="250">
        <f>COUNTIF(_xlfn.ANCHORARRAY(H102),"*FS-*")</f>
        <v>0</v>
      </c>
      <c r="I101" s="251" t="s">
        <v>369</v>
      </c>
      <c r="J101" s="250">
        <f>COUNTIF(_xlfn.ANCHORARRAY(J102),"*FS-*")</f>
        <v>0</v>
      </c>
      <c r="K101" s="251" t="s">
        <v>369</v>
      </c>
      <c r="L101" s="256"/>
      <c r="M101" s="256"/>
      <c r="N101" s="256"/>
    </row>
    <row r="102" spans="1:14" ht="15" customHeight="1">
      <c r="A102" s="255" t="str">
        <f>'AI (Maturity Eval)'!$BL$11</f>
        <v>Tech Platform</v>
      </c>
      <c r="B102" s="256" t="str" cm="1">
        <f t="array" ref="B102">IFERROR(_xlfn.UNIQUE(_xlfn._xlws.FILTER('AI (Maturity Eval)'!$BP$13:$BP$18, ISNUMBER(SEARCH("FS-", 'AI (Maturity Eval)'!$BP$13:$BP$18)))),"")</f>
        <v/>
      </c>
      <c r="C102" s="257"/>
      <c r="D102" s="256" t="str" cm="1">
        <f t="array" ref="D102">IFERROR(_xlfn.UNIQUE(_xlfn._xlws.FILTER('AI (Maturity Eval)'!$BP$19:$BP$25, ISNUMBER(SEARCH("FS-", 'AI (Maturity Eval)'!$BP$19:$BP$25)))),"")</f>
        <v/>
      </c>
      <c r="E102" s="258"/>
      <c r="F102" s="255" t="str" cm="1">
        <f t="array" ref="F102">IFERROR(_xlfn.UNIQUE(_xlfn._xlws.FILTER('AI (Maturity Eval)'!$BP$26:$BP$32, ISNUMBER(SEARCH("FS-", 'AI (Maturity Eval)'!$BP$26:$BP$32)))),"")</f>
        <v/>
      </c>
      <c r="G102" s="258"/>
      <c r="H102" s="255" t="str" cm="1">
        <f t="array" ref="H102">IFERROR(_xlfn.UNIQUE(_xlfn._xlws.FILTER('AI (Maturity Eval)'!$BP$33:$BP$42, ISNUMBER(SEARCH("FS-", 'AI (Maturity Eval)'!$BP$33:$BP$42)))),"")</f>
        <v/>
      </c>
      <c r="I102" s="259"/>
      <c r="J102" s="260" t="str" cm="1">
        <f t="array" ref="J102">IFERROR(_xlfn.UNIQUE(_xlfn._xlws.FILTER('AI (Maturity Eval)'!$BP$43:$BP$56, ISNUMBER(SEARCH("FS-", 'AI (Maturity Eval)'!$BP$43:$BP$56)))),"")</f>
        <v/>
      </c>
      <c r="K102" s="257"/>
      <c r="L102" s="256"/>
      <c r="M102" s="256"/>
      <c r="N102" s="256"/>
    </row>
    <row r="103" spans="1:14" ht="15" customHeight="1">
      <c r="A103" s="255" t="str">
        <f>'AI (Maturity Eval)'!$BL$11</f>
        <v>Tech Platform</v>
      </c>
      <c r="B103" s="256"/>
      <c r="C103" s="257"/>
      <c r="D103" s="256"/>
      <c r="E103" s="258"/>
      <c r="F103" s="255"/>
      <c r="G103" s="257"/>
      <c r="H103" s="255"/>
      <c r="I103" s="259"/>
      <c r="J103" s="260"/>
      <c r="K103" s="257"/>
      <c r="L103" s="256"/>
      <c r="M103" s="256"/>
      <c r="N103" s="256"/>
    </row>
    <row r="104" spans="1:14" ht="15" customHeight="1">
      <c r="A104" s="255" t="str">
        <f>'AI (Maturity Eval)'!$BL$11</f>
        <v>Tech Platform</v>
      </c>
      <c r="B104" s="256"/>
      <c r="C104" s="257"/>
      <c r="D104" s="256"/>
      <c r="E104" s="258"/>
      <c r="F104" s="255"/>
      <c r="G104" s="257"/>
      <c r="H104" s="255"/>
      <c r="I104" s="259"/>
      <c r="J104" s="260"/>
      <c r="K104" s="257"/>
      <c r="L104" s="256"/>
      <c r="M104" s="256"/>
      <c r="N104" s="256"/>
    </row>
    <row r="105" spans="1:14" ht="15" customHeight="1">
      <c r="A105" s="255" t="str">
        <f>'AI (Maturity Eval)'!$BL$11</f>
        <v>Tech Platform</v>
      </c>
      <c r="B105" s="256"/>
      <c r="C105" s="257"/>
      <c r="D105" s="256"/>
      <c r="E105" s="258"/>
      <c r="F105" s="255"/>
      <c r="G105" s="257"/>
      <c r="H105" s="255"/>
      <c r="I105" s="263"/>
      <c r="J105" s="256"/>
      <c r="K105" s="257"/>
      <c r="L105" s="256"/>
      <c r="M105" s="256"/>
      <c r="N105" s="256"/>
    </row>
    <row r="106" spans="1:14" ht="15" customHeight="1">
      <c r="A106" s="255" t="str">
        <f>'AI (Maturity Eval)'!$BL$11</f>
        <v>Tech Platform</v>
      </c>
      <c r="B106" s="256"/>
      <c r="C106" s="257"/>
      <c r="D106" s="256"/>
      <c r="E106" s="264"/>
      <c r="F106" s="262"/>
      <c r="G106" s="73"/>
      <c r="H106" s="255"/>
      <c r="I106" s="259"/>
      <c r="J106" s="260"/>
      <c r="K106" s="257"/>
      <c r="L106" s="256"/>
      <c r="M106" s="256"/>
      <c r="N106" s="256"/>
    </row>
    <row r="107" spans="1:14" ht="15" customHeight="1">
      <c r="A107" s="255"/>
      <c r="B107" s="256"/>
      <c r="C107" s="257"/>
      <c r="D107" s="256"/>
      <c r="E107" s="258"/>
      <c r="F107" s="255"/>
      <c r="G107" s="259"/>
      <c r="H107" s="255"/>
      <c r="I107" s="259"/>
      <c r="J107" s="260"/>
      <c r="K107" s="257"/>
      <c r="L107" s="256"/>
      <c r="M107" s="256"/>
      <c r="N107" s="256"/>
    </row>
    <row r="108" spans="1:14" ht="15" customHeight="1">
      <c r="A108" s="265"/>
      <c r="B108" s="266"/>
      <c r="C108" s="267"/>
      <c r="D108" s="266"/>
      <c r="E108" s="268"/>
      <c r="F108" s="265"/>
      <c r="G108" s="269"/>
      <c r="H108" s="265"/>
      <c r="I108" s="269"/>
      <c r="J108" s="270"/>
      <c r="K108" s="267"/>
      <c r="L108" s="256"/>
      <c r="M108" s="256"/>
      <c r="N108" s="256"/>
    </row>
    <row r="109" spans="1:14" ht="15" customHeight="1">
      <c r="A109" s="249">
        <f>SUM(B109,D109,F109,H109,J109)</f>
        <v>0</v>
      </c>
      <c r="B109" s="250">
        <f>COUNTIF(_xlfn.ANCHORARRAY(B110),"*FS-*")</f>
        <v>0</v>
      </c>
      <c r="C109" s="253" t="s">
        <v>369</v>
      </c>
      <c r="D109" s="250">
        <f>COUNTIF(_xlfn.ANCHORARRAY(D110),"*FS-*")</f>
        <v>0</v>
      </c>
      <c r="E109" s="251" t="s">
        <v>369</v>
      </c>
      <c r="F109" s="250">
        <f>COUNTIF(_xlfn.ANCHORARRAY(F110),"*FS-*")</f>
        <v>0</v>
      </c>
      <c r="G109" s="251" t="s">
        <v>369</v>
      </c>
      <c r="H109" s="250">
        <f>COUNTIF(_xlfn.ANCHORARRAY(H110),"*FS-*")</f>
        <v>0</v>
      </c>
      <c r="I109" s="251" t="s">
        <v>369</v>
      </c>
      <c r="J109" s="250">
        <f>COUNTIF(_xlfn.ANCHORARRAY(J110),"*FS-*")</f>
        <v>0</v>
      </c>
      <c r="K109" s="251" t="s">
        <v>369</v>
      </c>
      <c r="L109" s="256"/>
      <c r="M109" s="256"/>
      <c r="N109" s="256"/>
    </row>
    <row r="110" spans="1:14" ht="15" customHeight="1">
      <c r="A110" s="255" t="str">
        <f>'AI (Maturity Eval)'!$BQ$11</f>
        <v>PGE</v>
      </c>
      <c r="B110" s="256" t="str" cm="1">
        <f t="array" ref="B110">IFERROR(_xlfn.UNIQUE(_xlfn._xlws.FILTER('AI (Maturity Eval)'!$BU$13:$BU$18, ISNUMBER(SEARCH("FS-", 'AI (Maturity Eval)'!$BU$13:$BU$18)))),"")</f>
        <v/>
      </c>
      <c r="C110" s="257"/>
      <c r="D110" s="256" t="str" cm="1">
        <f t="array" ref="D110">IFERROR(_xlfn.UNIQUE(_xlfn._xlws.FILTER('AI (Maturity Eval)'!$BU$19:$BU$25, ISNUMBER(SEARCH("FS-", 'AI (Maturity Eval)'!$BU$19:$BU$25)))),"")</f>
        <v/>
      </c>
      <c r="E110" s="258"/>
      <c r="F110" s="255" t="str" cm="1">
        <f t="array" ref="F110">IFERROR(_xlfn.UNIQUE(_xlfn._xlws.FILTER('AI (Maturity Eval)'!$BU$26:$BU$32, ISNUMBER(SEARCH("FS-", 'AI (Maturity Eval)'!$BU$26:$BU$32)))),"")</f>
        <v/>
      </c>
      <c r="G110" s="258"/>
      <c r="H110" s="255" t="str" cm="1">
        <f t="array" ref="H110">IFERROR(_xlfn.UNIQUE(_xlfn._xlws.FILTER('AI (Maturity Eval)'!$BU$33:$BU$42, ISNUMBER(SEARCH("FS-", 'AI (Maturity Eval)'!$BU$33:$BU$42)))),"")</f>
        <v/>
      </c>
      <c r="I110" s="259"/>
      <c r="J110" s="260" t="str" cm="1">
        <f t="array" ref="J110">IFERROR(_xlfn.UNIQUE(_xlfn._xlws.FILTER('AI (Maturity Eval)'!$BU$43:$BU$56, ISNUMBER(SEARCH("FS-", 'AI (Maturity Eval)'!$BU$43:$BU$56)))),"")</f>
        <v/>
      </c>
      <c r="K110" s="257"/>
      <c r="L110" s="256"/>
      <c r="M110" s="256"/>
      <c r="N110" s="256"/>
    </row>
    <row r="111" spans="1:14" ht="15" customHeight="1">
      <c r="A111" s="255" t="str">
        <f>'AI (Maturity Eval)'!$BQ$11</f>
        <v>PGE</v>
      </c>
      <c r="B111" s="256"/>
      <c r="C111" s="257"/>
      <c r="D111" s="256"/>
      <c r="E111" s="258"/>
      <c r="F111" s="255"/>
      <c r="G111" s="257"/>
      <c r="H111" s="255"/>
      <c r="I111" s="259"/>
      <c r="J111" s="260"/>
      <c r="K111" s="257"/>
      <c r="L111" s="256"/>
      <c r="M111" s="256"/>
      <c r="N111" s="256"/>
    </row>
    <row r="112" spans="1:14" ht="15" customHeight="1">
      <c r="A112" s="255" t="str">
        <f>'AI (Maturity Eval)'!$BQ$11</f>
        <v>PGE</v>
      </c>
      <c r="B112" s="256"/>
      <c r="C112" s="257"/>
      <c r="D112" s="256"/>
      <c r="E112" s="258"/>
      <c r="F112" s="255"/>
      <c r="G112" s="257"/>
      <c r="H112" s="255"/>
      <c r="I112" s="259"/>
      <c r="J112" s="260"/>
      <c r="K112" s="257"/>
      <c r="L112" s="256"/>
      <c r="M112" s="256"/>
      <c r="N112" s="256"/>
    </row>
    <row r="113" spans="1:14" ht="15" customHeight="1">
      <c r="A113" s="255" t="str">
        <f>'AI (Maturity Eval)'!$BQ$11</f>
        <v>PGE</v>
      </c>
      <c r="B113" s="256"/>
      <c r="C113" s="257"/>
      <c r="D113" s="256"/>
      <c r="E113" s="258"/>
      <c r="F113" s="255"/>
      <c r="G113" s="257"/>
      <c r="H113" s="255"/>
      <c r="I113" s="263"/>
      <c r="J113" s="256"/>
      <c r="K113" s="257"/>
      <c r="L113" s="256"/>
      <c r="M113" s="256"/>
      <c r="N113" s="256"/>
    </row>
    <row r="114" spans="1:14" ht="15" customHeight="1">
      <c r="A114" s="255" t="str">
        <f>'AI (Maturity Eval)'!$BQ$11</f>
        <v>PGE</v>
      </c>
      <c r="B114" s="256"/>
      <c r="C114" s="257"/>
      <c r="D114" s="256"/>
      <c r="E114" s="264"/>
      <c r="F114" s="262"/>
      <c r="G114" s="73"/>
      <c r="H114" s="255"/>
      <c r="I114" s="259"/>
      <c r="J114" s="260"/>
      <c r="K114" s="257"/>
      <c r="L114" s="256"/>
      <c r="M114" s="256"/>
      <c r="N114" s="256"/>
    </row>
    <row r="115" spans="1:14" ht="15" customHeight="1">
      <c r="A115" s="255"/>
      <c r="B115" s="256"/>
      <c r="C115" s="257"/>
      <c r="D115" s="256"/>
      <c r="E115" s="258"/>
      <c r="F115" s="255"/>
      <c r="G115" s="259"/>
      <c r="H115" s="255"/>
      <c r="I115" s="259"/>
      <c r="J115" s="260"/>
      <c r="K115" s="257"/>
      <c r="L115" s="256"/>
      <c r="M115" s="256"/>
      <c r="N115" s="256"/>
    </row>
    <row r="116" spans="1:14" ht="15" customHeight="1">
      <c r="A116" s="265"/>
      <c r="B116" s="266"/>
      <c r="C116" s="267"/>
      <c r="D116" s="266"/>
      <c r="E116" s="268"/>
      <c r="F116" s="265"/>
      <c r="G116" s="269"/>
      <c r="H116" s="265"/>
      <c r="I116" s="269"/>
      <c r="J116" s="270"/>
      <c r="K116" s="267"/>
      <c r="L116" s="256"/>
      <c r="M116" s="256"/>
      <c r="N116" s="256"/>
    </row>
    <row r="117" spans="1:14" ht="15" customHeight="1">
      <c r="A117" s="249">
        <f>SUM(B117,D117,F117,H117,J117)</f>
        <v>0</v>
      </c>
      <c r="B117" s="250">
        <f>COUNTIF(_xlfn.ANCHORARRAY(B118),"*FS-*")</f>
        <v>0</v>
      </c>
      <c r="C117" s="253" t="s">
        <v>369</v>
      </c>
      <c r="D117" s="250">
        <f>COUNTIF(_xlfn.ANCHORARRAY(D118),"*FS-*")</f>
        <v>0</v>
      </c>
      <c r="E117" s="251" t="s">
        <v>369</v>
      </c>
      <c r="F117" s="250">
        <f>COUNTIF(_xlfn.ANCHORARRAY(F118),"*FS-*")</f>
        <v>0</v>
      </c>
      <c r="G117" s="251" t="s">
        <v>369</v>
      </c>
      <c r="H117" s="250">
        <f>COUNTIF(_xlfn.ANCHORARRAY(H118),"*FS-*")</f>
        <v>0</v>
      </c>
      <c r="I117" s="251" t="s">
        <v>369</v>
      </c>
      <c r="J117" s="250">
        <f>COUNTIF(_xlfn.ANCHORARRAY(J118),"*FS-*")</f>
        <v>0</v>
      </c>
      <c r="K117" s="251" t="s">
        <v>369</v>
      </c>
    </row>
    <row r="118" spans="1:14" ht="15" customHeight="1">
      <c r="A118" s="255" t="s">
        <v>140</v>
      </c>
      <c r="B118" s="256" t="str" cm="1">
        <f t="array" ref="B118">IFERROR(_xlfn.UNIQUE(_xlfn._xlws.FILTER('AI (Maturity Eval)'!$BU$13:$BU$18, ISNUMBER(SEARCH("FS-", 'AI (Maturity Eval)'!$BU$13:$BU$18)))),"")</f>
        <v/>
      </c>
      <c r="C118" s="257"/>
      <c r="D118" s="256" t="str" cm="1">
        <f t="array" ref="D118">IFERROR(_xlfn.UNIQUE(_xlfn._xlws.FILTER('AI (Maturity Eval)'!$BU$19:$BU$25, ISNUMBER(SEARCH("FS-", 'AI (Maturity Eval)'!$BU$19:$BU$25)))),"")</f>
        <v/>
      </c>
      <c r="E118" s="258"/>
      <c r="F118" s="255" t="str" cm="1">
        <f t="array" ref="F118">IFERROR(_xlfn.UNIQUE(_xlfn._xlws.FILTER('AI (Maturity Eval)'!$BU$26:$BU$32, ISNUMBER(SEARCH("FS-", 'AI (Maturity Eval)'!$BU$26:$BU$32)))),"")</f>
        <v/>
      </c>
      <c r="G118" s="258"/>
      <c r="H118" s="255" t="str" cm="1">
        <f t="array" ref="H118">IFERROR(_xlfn.UNIQUE(_xlfn._xlws.FILTER('AI (Maturity Eval)'!$BU$33:$BU$42, ISNUMBER(SEARCH("FS-", 'AI (Maturity Eval)'!$BU$33:$BU$42)))),"")</f>
        <v/>
      </c>
      <c r="I118" s="259"/>
      <c r="J118" s="260" t="str" cm="1">
        <f t="array" ref="J118">IFERROR(_xlfn.UNIQUE(_xlfn._xlws.FILTER('AI (Maturity Eval)'!$BU$43:$BU$56, ISNUMBER(SEARCH("FS-", 'AI (Maturity Eval)'!$BU$43:$BU$56)))),"")</f>
        <v/>
      </c>
      <c r="K118" s="257"/>
    </row>
    <row r="119" spans="1:14" ht="15" customHeight="1">
      <c r="A119" s="255" t="s">
        <v>140</v>
      </c>
      <c r="B119" s="256"/>
      <c r="C119" s="257"/>
      <c r="D119" s="256"/>
      <c r="E119" s="258"/>
      <c r="F119" s="255"/>
      <c r="G119" s="257"/>
      <c r="H119" s="255"/>
      <c r="I119" s="259"/>
      <c r="J119" s="260"/>
      <c r="K119" s="257"/>
    </row>
    <row r="120" spans="1:14" ht="15" customHeight="1">
      <c r="A120" s="255" t="s">
        <v>140</v>
      </c>
      <c r="B120" s="256"/>
      <c r="C120" s="257"/>
      <c r="D120" s="256"/>
      <c r="E120" s="258"/>
      <c r="F120" s="255"/>
      <c r="G120" s="257"/>
      <c r="H120" s="255"/>
      <c r="I120" s="259"/>
      <c r="J120" s="260"/>
      <c r="K120" s="257"/>
    </row>
    <row r="121" spans="1:14" ht="15" customHeight="1">
      <c r="A121" s="255" t="s">
        <v>140</v>
      </c>
      <c r="B121" s="256"/>
      <c r="C121" s="257"/>
      <c r="D121" s="256"/>
      <c r="E121" s="258"/>
      <c r="F121" s="255"/>
      <c r="G121" s="257"/>
      <c r="H121" s="255"/>
      <c r="I121" s="263"/>
      <c r="J121" s="256"/>
      <c r="K121" s="257"/>
    </row>
    <row r="122" spans="1:14" ht="15" customHeight="1">
      <c r="A122" s="255" t="s">
        <v>140</v>
      </c>
      <c r="B122" s="256"/>
      <c r="C122" s="257"/>
      <c r="D122" s="256"/>
      <c r="E122" s="264"/>
      <c r="F122" s="262"/>
      <c r="G122" s="73"/>
      <c r="H122" s="255"/>
      <c r="I122" s="259"/>
      <c r="J122" s="260"/>
      <c r="K122" s="257"/>
    </row>
    <row r="123" spans="1:14" ht="15" customHeight="1">
      <c r="A123" s="255" t="s">
        <v>140</v>
      </c>
      <c r="B123" s="256"/>
      <c r="C123" s="257"/>
      <c r="D123" s="256"/>
      <c r="E123" s="258"/>
      <c r="F123" s="255"/>
      <c r="G123" s="259"/>
      <c r="H123" s="255"/>
      <c r="I123" s="259"/>
      <c r="J123" s="260"/>
      <c r="K123" s="257"/>
    </row>
    <row r="124" spans="1:14" ht="15" customHeight="1">
      <c r="A124" s="265"/>
      <c r="B124" s="266"/>
      <c r="C124" s="267"/>
      <c r="D124" s="266"/>
      <c r="E124" s="268"/>
      <c r="F124" s="265"/>
      <c r="G124" s="269"/>
      <c r="H124" s="265"/>
      <c r="I124" s="269"/>
      <c r="J124" s="270"/>
      <c r="K124" s="267"/>
    </row>
    <row r="125" spans="1:14" ht="15" customHeight="1">
      <c r="A125" s="249">
        <f>SUM(B125,D125,F125,H125,J125)</f>
        <v>0</v>
      </c>
      <c r="B125" s="250">
        <f>COUNTIF(_xlfn.ANCHORARRAY(B126),"*FS-*")</f>
        <v>0</v>
      </c>
      <c r="C125" s="253" t="s">
        <v>369</v>
      </c>
      <c r="D125" s="250">
        <f>COUNTIF(_xlfn.ANCHORARRAY(D126),"*FS-*")</f>
        <v>0</v>
      </c>
      <c r="E125" s="251" t="s">
        <v>369</v>
      </c>
      <c r="F125" s="250">
        <f>COUNTIF(_xlfn.ANCHORARRAY(F126),"*FS-*")</f>
        <v>0</v>
      </c>
      <c r="G125" s="251" t="s">
        <v>369</v>
      </c>
      <c r="H125" s="250">
        <f>COUNTIF(_xlfn.ANCHORARRAY(H126),"*FS-*")</f>
        <v>0</v>
      </c>
      <c r="I125" s="251" t="s">
        <v>369</v>
      </c>
      <c r="J125" s="250">
        <f>COUNTIF(_xlfn.ANCHORARRAY(J126),"*FS-*")</f>
        <v>0</v>
      </c>
      <c r="K125" s="251" t="s">
        <v>369</v>
      </c>
    </row>
    <row r="126" spans="1:14" ht="15" customHeight="1">
      <c r="A126" s="255" t="s">
        <v>367</v>
      </c>
      <c r="B126" s="256" t="str" cm="1">
        <f t="array" ref="B126">IFERROR(_xlfn.UNIQUE(_xlfn._xlws.FILTER('AI (Maturity Eval)'!$BU$13:$BU$18, ISNUMBER(SEARCH("FS-", 'AI (Maturity Eval)'!$BU$13:$BU$18)))),"")</f>
        <v/>
      </c>
      <c r="C126" s="257"/>
      <c r="D126" s="256" t="str" cm="1">
        <f t="array" ref="D126">IFERROR(_xlfn.UNIQUE(_xlfn._xlws.FILTER('AI (Maturity Eval)'!$BU$19:$BU$25, ISNUMBER(SEARCH("FS-", 'AI (Maturity Eval)'!$BU$19:$BU$25)))),"")</f>
        <v/>
      </c>
      <c r="E126" s="258"/>
      <c r="F126" s="255" t="str" cm="1">
        <f t="array" ref="F126">IFERROR(_xlfn.UNIQUE(_xlfn._xlws.FILTER('AI (Maturity Eval)'!$BU$26:$BU$32, ISNUMBER(SEARCH("FS-", 'AI (Maturity Eval)'!$BU$26:$BU$32)))),"")</f>
        <v/>
      </c>
      <c r="G126" s="258"/>
      <c r="H126" s="255" t="str" cm="1">
        <f t="array" ref="H126">IFERROR(_xlfn.UNIQUE(_xlfn._xlws.FILTER('AI (Maturity Eval)'!$BU$33:$BU$42, ISNUMBER(SEARCH("FS-", 'AI (Maturity Eval)'!$BU$33:$BU$42)))),"")</f>
        <v/>
      </c>
      <c r="I126" s="259"/>
      <c r="J126" s="260" t="str" cm="1">
        <f t="array" ref="J126">IFERROR(_xlfn.UNIQUE(_xlfn._xlws.FILTER('AI (Maturity Eval)'!$BU$43:$BU$56, ISNUMBER(SEARCH("FS-", 'AI (Maturity Eval)'!$BU$43:$BU$56)))),"")</f>
        <v/>
      </c>
      <c r="K126" s="257"/>
    </row>
    <row r="127" spans="1:14" ht="15" customHeight="1">
      <c r="A127" s="255" t="s">
        <v>367</v>
      </c>
      <c r="B127" s="256"/>
      <c r="C127" s="257"/>
      <c r="D127" s="256"/>
      <c r="E127" s="258"/>
      <c r="F127" s="255"/>
      <c r="G127" s="257"/>
      <c r="H127" s="255"/>
      <c r="I127" s="259"/>
      <c r="J127" s="260"/>
      <c r="K127" s="257"/>
    </row>
    <row r="128" spans="1:14" ht="15" customHeight="1">
      <c r="A128" s="255" t="s">
        <v>367</v>
      </c>
      <c r="B128" s="256"/>
      <c r="C128" s="257"/>
      <c r="D128" s="256"/>
      <c r="E128" s="258"/>
      <c r="F128" s="255"/>
      <c r="G128" s="257"/>
      <c r="H128" s="255"/>
      <c r="I128" s="259"/>
      <c r="J128" s="260"/>
      <c r="K128" s="257"/>
    </row>
    <row r="129" spans="1:11" ht="15" customHeight="1">
      <c r="A129" s="255" t="s">
        <v>367</v>
      </c>
      <c r="B129" s="256"/>
      <c r="C129" s="257"/>
      <c r="D129" s="256"/>
      <c r="E129" s="258"/>
      <c r="F129" s="255"/>
      <c r="G129" s="257"/>
      <c r="H129" s="255"/>
      <c r="I129" s="263"/>
      <c r="J129" s="256"/>
      <c r="K129" s="257"/>
    </row>
    <row r="130" spans="1:11" ht="15" customHeight="1">
      <c r="A130" s="255" t="s">
        <v>367</v>
      </c>
      <c r="B130" s="256"/>
      <c r="C130" s="257"/>
      <c r="D130" s="256"/>
      <c r="E130" s="264"/>
      <c r="F130" s="262"/>
      <c r="G130" s="73"/>
      <c r="H130" s="255"/>
      <c r="I130" s="259"/>
      <c r="J130" s="260"/>
      <c r="K130" s="257"/>
    </row>
    <row r="131" spans="1:11" ht="15" customHeight="1">
      <c r="A131" s="255"/>
      <c r="B131" s="256"/>
      <c r="C131" s="257"/>
      <c r="D131" s="256"/>
      <c r="E131" s="258"/>
      <c r="F131" s="255"/>
      <c r="G131" s="259"/>
      <c r="H131" s="255"/>
      <c r="I131" s="259"/>
      <c r="J131" s="260"/>
      <c r="K131" s="257"/>
    </row>
    <row r="132" spans="1:11" ht="15" customHeight="1">
      <c r="A132" s="265"/>
      <c r="B132" s="266"/>
      <c r="C132" s="267"/>
      <c r="D132" s="266"/>
      <c r="E132" s="268"/>
      <c r="F132" s="265"/>
      <c r="G132" s="269"/>
      <c r="H132" s="265"/>
      <c r="I132" s="269"/>
      <c r="J132" s="270"/>
      <c r="K132" s="267"/>
    </row>
  </sheetData>
  <mergeCells count="8">
    <mergeCell ref="A1:B1"/>
    <mergeCell ref="A18:K18"/>
    <mergeCell ref="A19:A20"/>
    <mergeCell ref="B20:C20"/>
    <mergeCell ref="D20:E20"/>
    <mergeCell ref="F20:G20"/>
    <mergeCell ref="H20:I20"/>
    <mergeCell ref="J20:K2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5594D-DFFF-40A4-91DF-600DF73466A7}">
  <sheetPr codeName="Sheet11"/>
  <dimension ref="B2:G38"/>
  <sheetViews>
    <sheetView topLeftCell="A18" workbookViewId="0">
      <selection activeCell="L39" sqref="L39"/>
    </sheetView>
  </sheetViews>
  <sheetFormatPr baseColWidth="10" defaultColWidth="8.83203125" defaultRowHeight="15.75" customHeight="1"/>
  <cols>
    <col min="2" max="2" width="21" customWidth="1"/>
    <col min="3" max="3" width="42" bestFit="1" customWidth="1"/>
    <col min="4" max="4" width="51" customWidth="1"/>
    <col min="5" max="5" width="12.5" bestFit="1" customWidth="1"/>
    <col min="6" max="6" width="10" customWidth="1"/>
    <col min="7" max="7" width="13" customWidth="1"/>
  </cols>
  <sheetData>
    <row r="2" spans="2:7" ht="15.75" customHeight="1">
      <c r="B2" s="481" t="s">
        <v>370</v>
      </c>
      <c r="C2" s="482"/>
      <c r="D2" s="483"/>
    </row>
    <row r="3" spans="2:7" ht="15.75" customHeight="1">
      <c r="B3" s="484" t="s">
        <v>371</v>
      </c>
      <c r="C3" s="485"/>
      <c r="D3" s="486"/>
    </row>
    <row r="4" spans="2:7" ht="15.75" customHeight="1">
      <c r="B4" s="484" t="s">
        <v>372</v>
      </c>
      <c r="C4" s="485"/>
      <c r="D4" s="486"/>
    </row>
    <row r="5" spans="2:7" ht="15.75" customHeight="1">
      <c r="B5" s="487" t="s">
        <v>373</v>
      </c>
      <c r="C5" s="488"/>
      <c r="D5" s="489"/>
    </row>
    <row r="8" spans="2:7" ht="16">
      <c r="B8" s="2" t="s">
        <v>374</v>
      </c>
      <c r="C8" s="2" t="s">
        <v>375</v>
      </c>
      <c r="D8" s="2" t="s">
        <v>127</v>
      </c>
      <c r="E8" s="80" t="s">
        <v>130</v>
      </c>
      <c r="F8" s="80" t="s">
        <v>376</v>
      </c>
      <c r="G8" s="80" t="s">
        <v>377</v>
      </c>
    </row>
    <row r="9" spans="2:7" ht="16">
      <c r="B9" s="93" t="s">
        <v>378</v>
      </c>
      <c r="C9" s="93" t="s">
        <v>379</v>
      </c>
      <c r="D9" s="93"/>
      <c r="E9" s="94" t="s">
        <v>380</v>
      </c>
      <c r="F9" s="94" t="s">
        <v>381</v>
      </c>
      <c r="G9" s="94"/>
    </row>
    <row r="10" spans="2:7" ht="16">
      <c r="B10" s="93" t="s">
        <v>378</v>
      </c>
      <c r="C10" s="93" t="s">
        <v>382</v>
      </c>
      <c r="D10" s="93"/>
      <c r="E10" s="94" t="s">
        <v>380</v>
      </c>
      <c r="F10" s="94" t="s">
        <v>383</v>
      </c>
      <c r="G10" s="94"/>
    </row>
    <row r="11" spans="2:7" ht="16">
      <c r="B11" s="93" t="s">
        <v>378</v>
      </c>
      <c r="C11" s="93" t="s">
        <v>384</v>
      </c>
      <c r="D11" s="93"/>
      <c r="E11" s="94" t="s">
        <v>380</v>
      </c>
      <c r="F11" s="94" t="s">
        <v>381</v>
      </c>
      <c r="G11" s="94"/>
    </row>
    <row r="12" spans="2:7" ht="16">
      <c r="B12" s="93" t="s">
        <v>378</v>
      </c>
      <c r="C12" s="93" t="s">
        <v>385</v>
      </c>
      <c r="D12" s="93"/>
      <c r="E12" s="94" t="s">
        <v>383</v>
      </c>
      <c r="F12" s="94" t="s">
        <v>380</v>
      </c>
      <c r="G12" s="94"/>
    </row>
    <row r="13" spans="2:7" ht="16">
      <c r="B13" s="93" t="s">
        <v>378</v>
      </c>
      <c r="C13" s="93" t="s">
        <v>386</v>
      </c>
      <c r="D13" s="93"/>
      <c r="E13" s="94" t="s">
        <v>380</v>
      </c>
      <c r="F13" s="94" t="s">
        <v>383</v>
      </c>
      <c r="G13" s="94"/>
    </row>
    <row r="14" spans="2:7" ht="16">
      <c r="B14" s="93" t="s">
        <v>378</v>
      </c>
      <c r="C14" s="93" t="s">
        <v>387</v>
      </c>
      <c r="D14" s="93"/>
      <c r="E14" s="94" t="s">
        <v>381</v>
      </c>
      <c r="F14" s="94" t="s">
        <v>380</v>
      </c>
      <c r="G14" s="94"/>
    </row>
    <row r="15" spans="2:7" ht="16">
      <c r="B15" s="93" t="s">
        <v>388</v>
      </c>
      <c r="C15" s="93" t="s">
        <v>389</v>
      </c>
      <c r="D15" s="93"/>
      <c r="E15" s="94" t="s">
        <v>390</v>
      </c>
      <c r="F15" s="94" t="s">
        <v>380</v>
      </c>
      <c r="G15" s="94"/>
    </row>
    <row r="16" spans="2:7" ht="16">
      <c r="B16" s="93" t="s">
        <v>388</v>
      </c>
      <c r="C16" s="93" t="s">
        <v>391</v>
      </c>
      <c r="D16" s="93"/>
      <c r="E16" s="94" t="s">
        <v>390</v>
      </c>
      <c r="F16" s="94" t="s">
        <v>380</v>
      </c>
      <c r="G16" s="94"/>
    </row>
    <row r="17" spans="2:7" ht="16">
      <c r="B17" s="93" t="s">
        <v>392</v>
      </c>
      <c r="C17" s="93" t="s">
        <v>393</v>
      </c>
      <c r="D17" s="93"/>
      <c r="E17" s="94" t="s">
        <v>380</v>
      </c>
      <c r="F17" s="94" t="s">
        <v>394</v>
      </c>
      <c r="G17" s="94"/>
    </row>
    <row r="18" spans="2:7" ht="16">
      <c r="B18" s="93" t="s">
        <v>392</v>
      </c>
      <c r="C18" s="93" t="s">
        <v>395</v>
      </c>
      <c r="D18" s="93"/>
      <c r="E18" s="94" t="s">
        <v>390</v>
      </c>
      <c r="F18" s="94" t="s">
        <v>380</v>
      </c>
      <c r="G18" s="94"/>
    </row>
    <row r="19" spans="2:7" ht="16">
      <c r="B19" s="93" t="s">
        <v>392</v>
      </c>
      <c r="C19" s="93" t="s">
        <v>396</v>
      </c>
      <c r="D19" s="93"/>
      <c r="E19" s="94" t="s">
        <v>381</v>
      </c>
      <c r="F19" s="94" t="s">
        <v>380</v>
      </c>
      <c r="G19" s="94"/>
    </row>
    <row r="20" spans="2:7" ht="16">
      <c r="B20" s="93" t="s">
        <v>392</v>
      </c>
      <c r="C20" s="93" t="s">
        <v>397</v>
      </c>
      <c r="D20" s="93"/>
      <c r="E20" s="94" t="s">
        <v>390</v>
      </c>
      <c r="F20" s="94" t="s">
        <v>380</v>
      </c>
      <c r="G20" s="94"/>
    </row>
    <row r="21" spans="2:7" ht="16">
      <c r="B21" s="93" t="s">
        <v>398</v>
      </c>
      <c r="C21" s="93" t="s">
        <v>399</v>
      </c>
      <c r="D21" s="93"/>
      <c r="E21" s="94" t="s">
        <v>383</v>
      </c>
      <c r="F21" s="94" t="s">
        <v>380</v>
      </c>
      <c r="G21" s="94"/>
    </row>
    <row r="22" spans="2:7" ht="16">
      <c r="B22" s="93" t="s">
        <v>398</v>
      </c>
      <c r="C22" s="93" t="s">
        <v>400</v>
      </c>
      <c r="D22" s="93"/>
      <c r="E22" s="94" t="s">
        <v>383</v>
      </c>
      <c r="F22" s="94" t="s">
        <v>380</v>
      </c>
      <c r="G22" s="94"/>
    </row>
    <row r="23" spans="2:7" ht="16">
      <c r="B23" s="93" t="s">
        <v>398</v>
      </c>
      <c r="C23" s="93" t="s">
        <v>401</v>
      </c>
      <c r="D23" s="93"/>
      <c r="E23" s="94" t="s">
        <v>390</v>
      </c>
      <c r="F23" s="94" t="s">
        <v>380</v>
      </c>
      <c r="G23" s="94"/>
    </row>
    <row r="24" spans="2:7" ht="16">
      <c r="B24" s="93" t="s">
        <v>398</v>
      </c>
      <c r="C24" s="93" t="s">
        <v>402</v>
      </c>
      <c r="D24" s="93"/>
      <c r="E24" s="94" t="s">
        <v>390</v>
      </c>
      <c r="F24" s="94" t="s">
        <v>380</v>
      </c>
      <c r="G24" s="94"/>
    </row>
    <row r="25" spans="2:7" ht="16">
      <c r="B25" s="93" t="s">
        <v>398</v>
      </c>
      <c r="C25" s="93" t="s">
        <v>403</v>
      </c>
      <c r="D25" s="93"/>
      <c r="E25" s="94" t="s">
        <v>390</v>
      </c>
      <c r="F25" s="94" t="s">
        <v>380</v>
      </c>
      <c r="G25" s="94"/>
    </row>
    <row r="26" spans="2:7" ht="16">
      <c r="B26" s="93" t="s">
        <v>404</v>
      </c>
      <c r="C26" s="93" t="s">
        <v>405</v>
      </c>
      <c r="D26" s="93"/>
      <c r="E26" s="94" t="s">
        <v>390</v>
      </c>
      <c r="F26" s="94" t="s">
        <v>380</v>
      </c>
      <c r="G26" s="94"/>
    </row>
    <row r="27" spans="2:7" ht="16">
      <c r="B27" s="93" t="s">
        <v>404</v>
      </c>
      <c r="C27" s="93" t="s">
        <v>406</v>
      </c>
      <c r="D27" s="93"/>
      <c r="E27" s="94" t="s">
        <v>407</v>
      </c>
      <c r="F27" s="94" t="s">
        <v>380</v>
      </c>
      <c r="G27" s="94"/>
    </row>
    <row r="28" spans="2:7" ht="16">
      <c r="B28" s="93" t="s">
        <v>408</v>
      </c>
      <c r="C28" s="93" t="s">
        <v>409</v>
      </c>
      <c r="D28" s="93"/>
      <c r="E28" s="94" t="s">
        <v>390</v>
      </c>
      <c r="F28" s="94" t="s">
        <v>390</v>
      </c>
      <c r="G28" s="94"/>
    </row>
    <row r="29" spans="2:7" ht="16">
      <c r="B29" s="93" t="s">
        <v>408</v>
      </c>
      <c r="C29" s="93" t="s">
        <v>410</v>
      </c>
      <c r="D29" s="93"/>
      <c r="E29" s="94" t="s">
        <v>390</v>
      </c>
      <c r="F29" s="94" t="s">
        <v>390</v>
      </c>
      <c r="G29" s="94"/>
    </row>
    <row r="30" spans="2:7" ht="16">
      <c r="B30" s="93" t="s">
        <v>411</v>
      </c>
      <c r="C30" s="93" t="s">
        <v>412</v>
      </c>
      <c r="D30" s="93"/>
      <c r="E30" s="94" t="s">
        <v>383</v>
      </c>
      <c r="F30" s="94" t="s">
        <v>380</v>
      </c>
      <c r="G30" s="94"/>
    </row>
    <row r="31" spans="2:7" ht="16">
      <c r="B31" s="93" t="s">
        <v>411</v>
      </c>
      <c r="C31" s="93" t="s">
        <v>413</v>
      </c>
      <c r="D31" s="93"/>
      <c r="E31" s="94" t="s">
        <v>383</v>
      </c>
      <c r="F31" s="94" t="s">
        <v>380</v>
      </c>
      <c r="G31" s="94"/>
    </row>
    <row r="32" spans="2:7" ht="16">
      <c r="B32" s="93" t="s">
        <v>411</v>
      </c>
      <c r="C32" s="93" t="s">
        <v>414</v>
      </c>
      <c r="D32" s="93"/>
      <c r="E32" s="94" t="s">
        <v>383</v>
      </c>
      <c r="F32" s="94" t="s">
        <v>380</v>
      </c>
      <c r="G32" s="94"/>
    </row>
    <row r="33" spans="2:7" ht="16">
      <c r="B33" s="93" t="s">
        <v>411</v>
      </c>
      <c r="C33" s="93" t="s">
        <v>415</v>
      </c>
      <c r="D33" s="93"/>
      <c r="E33" s="94" t="s">
        <v>383</v>
      </c>
      <c r="F33" s="94" t="s">
        <v>380</v>
      </c>
      <c r="G33" s="94"/>
    </row>
    <row r="34" spans="2:7" ht="16">
      <c r="B34" s="93" t="s">
        <v>411</v>
      </c>
      <c r="C34" s="93" t="s">
        <v>416</v>
      </c>
      <c r="D34" s="93"/>
      <c r="E34" s="94" t="s">
        <v>380</v>
      </c>
      <c r="F34" s="94" t="s">
        <v>390</v>
      </c>
      <c r="G34" s="94"/>
    </row>
    <row r="35" spans="2:7" ht="16">
      <c r="B35" s="93" t="s">
        <v>411</v>
      </c>
      <c r="C35" s="93" t="s">
        <v>417</v>
      </c>
      <c r="D35" s="93"/>
      <c r="E35" s="94" t="s">
        <v>390</v>
      </c>
      <c r="F35" s="94" t="s">
        <v>380</v>
      </c>
      <c r="G35" s="94"/>
    </row>
    <row r="36" spans="2:7" ht="16">
      <c r="B36" s="93" t="s">
        <v>411</v>
      </c>
      <c r="C36" s="93" t="s">
        <v>418</v>
      </c>
      <c r="D36" s="93"/>
      <c r="E36" s="94" t="s">
        <v>380</v>
      </c>
      <c r="F36" s="94" t="s">
        <v>381</v>
      </c>
      <c r="G36" s="94"/>
    </row>
    <row r="37" spans="2:7" ht="16">
      <c r="B37" s="93" t="s">
        <v>411</v>
      </c>
      <c r="C37" s="93" t="s">
        <v>419</v>
      </c>
      <c r="D37" s="93"/>
      <c r="E37" s="94" t="s">
        <v>390</v>
      </c>
      <c r="F37" s="94" t="s">
        <v>380</v>
      </c>
      <c r="G37" s="94"/>
    </row>
    <row r="38" spans="2:7" ht="16">
      <c r="B38" s="93" t="s">
        <v>411</v>
      </c>
      <c r="C38" s="93" t="s">
        <v>420</v>
      </c>
      <c r="D38" s="93"/>
      <c r="E38" s="94" t="s">
        <v>380</v>
      </c>
      <c r="F38" s="94" t="s">
        <v>383</v>
      </c>
      <c r="G38" s="94"/>
    </row>
  </sheetData>
  <mergeCells count="4">
    <mergeCell ref="B2:D2"/>
    <mergeCell ref="B3:D3"/>
    <mergeCell ref="B4:D4"/>
    <mergeCell ref="B5:D5"/>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8130aa3-a314-4c27-b280-24a6769dad96" xsi:nil="true"/>
    <lcf76f155ced4ddcb4097134ff3c332f xmlns="7b5c9b0c-f33d-4b9e-8194-60991a45f652">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7D706A3FA1AD041B0D76CD7503A5EBE" ma:contentTypeVersion="20" ma:contentTypeDescription="Create a new document." ma:contentTypeScope="" ma:versionID="970623b534a0086ca23f8197e3c65196">
  <xsd:schema xmlns:xsd="http://www.w3.org/2001/XMLSchema" xmlns:xs="http://www.w3.org/2001/XMLSchema" xmlns:p="http://schemas.microsoft.com/office/2006/metadata/properties" xmlns:ns2="7b5c9b0c-f33d-4b9e-8194-60991a45f652" xmlns:ns3="28130aa3-a314-4c27-b280-24a6769dad96" targetNamespace="http://schemas.microsoft.com/office/2006/metadata/properties" ma:root="true" ma:fieldsID="5f30073b550b2878801292134af2c147" ns2:_="" ns3:_="">
    <xsd:import namespace="7b5c9b0c-f33d-4b9e-8194-60991a45f652"/>
    <xsd:import namespace="28130aa3-a314-4c27-b280-24a6769dad96"/>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Location"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b5c9b0c-f33d-4b9e-8194-60991a45f65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8fdc660-233e-459b-89cc-75520a91d2e9"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8130aa3-a314-4c27-b280-24a6769dad96"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1315f1-64ab-44cc-89a8-9272c63b2237}" ma:internalName="TaxCatchAll" ma:showField="CatchAllData" ma:web="28130aa3-a314-4c27-b280-24a6769dad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AC1C014-132A-4824-9BD1-27EB11680DCA}">
  <ds:schemaRefs>
    <ds:schemaRef ds:uri="http://purl.org/dc/terms/"/>
    <ds:schemaRef ds:uri="http://purl.org/dc/dcmitype/"/>
    <ds:schemaRef ds:uri="7b5c9b0c-f33d-4b9e-8194-60991a45f652"/>
    <ds:schemaRef ds:uri="http://schemas.microsoft.com/office/2006/documentManagement/types"/>
    <ds:schemaRef ds:uri="28130aa3-a314-4c27-b280-24a6769dad96"/>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D513C9CF-6340-44C8-A230-6BE40CCE51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b5c9b0c-f33d-4b9e-8194-60991a45f652"/>
    <ds:schemaRef ds:uri="28130aa3-a314-4c27-b280-24a6769dad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17044D-C3CB-4CF2-8508-0F9B281229C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Approach</vt:lpstr>
      <vt:lpstr>Layer to Metric (mapping)</vt:lpstr>
      <vt:lpstr>Instructions</vt:lpstr>
      <vt:lpstr>Heatmap Target</vt:lpstr>
      <vt:lpstr>AI (Heatmap)</vt:lpstr>
      <vt:lpstr>AI (Raw data)</vt:lpstr>
      <vt:lpstr>Maturity Assessment (Summary)</vt:lpstr>
      <vt:lpstr>AI (Maturity Eval)</vt:lpstr>
      <vt:lpstr>BEpics</vt:lpstr>
      <vt:lpstr>RACI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Tom Mackall</cp:lastModifiedBy>
  <cp:revision/>
  <dcterms:created xsi:type="dcterms:W3CDTF">2023-05-02T14:07:41Z</dcterms:created>
  <dcterms:modified xsi:type="dcterms:W3CDTF">2026-01-22T09:31:50Z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0x01010087D706A3FA1AD041B0D76CD7503A5EBE</vt:lpwstr>
  </property>
  <property fmtid="{D5CDD505-2E9C-101B-9397-08002B2CF9AE}" pid="3" name="MediaServiceImageTags">
    <vt:lpwstr/>
  </property>
  <property fmtid="{D5CDD505-2E9C-101B-9397-08002B2CF9AE}" pid="4" name="MSIP_Label_163535f3-a261-44fa-a080-b5a7b0a48f70_Enabled">
    <vt:lpwstr>true</vt:lpwstr>
  </property>
  <property fmtid="{D5CDD505-2E9C-101B-9397-08002B2CF9AE}" pid="5" name="MSIP_Label_163535f3-a261-44fa-a080-b5a7b0a48f70_SetDate">
    <vt:lpwstr>2025-10-14T20:24:38Z</vt:lpwstr>
  </property>
  <property fmtid="{D5CDD505-2E9C-101B-9397-08002B2CF9AE}" pid="6" name="MSIP_Label_163535f3-a261-44fa-a080-b5a7b0a48f70_Method">
    <vt:lpwstr>Standard</vt:lpwstr>
  </property>
  <property fmtid="{D5CDD505-2E9C-101B-9397-08002B2CF9AE}" pid="7" name="MSIP_Label_163535f3-a261-44fa-a080-b5a7b0a48f70_Name">
    <vt:lpwstr>UKG DLP Protected</vt:lpwstr>
  </property>
  <property fmtid="{D5CDD505-2E9C-101B-9397-08002B2CF9AE}" pid="8" name="MSIP_Label_163535f3-a261-44fa-a080-b5a7b0a48f70_SiteId">
    <vt:lpwstr>7b6f35d2-1f98-4e5e-82eb-e78f6ea5a1de</vt:lpwstr>
  </property>
  <property fmtid="{D5CDD505-2E9C-101B-9397-08002B2CF9AE}" pid="9" name="MSIP_Label_163535f3-a261-44fa-a080-b5a7b0a48f70_ActionId">
    <vt:lpwstr>754f46f1-8401-4846-8677-d988a0f3acb8</vt:lpwstr>
  </property>
  <property fmtid="{D5CDD505-2E9C-101B-9397-08002B2CF9AE}" pid="10" name="MSIP_Label_163535f3-a261-44fa-a080-b5a7b0a48f70_ContentBits">
    <vt:lpwstr>0</vt:lpwstr>
  </property>
  <property fmtid="{D5CDD505-2E9C-101B-9397-08002B2CF9AE}" pid="11" name="MSIP_Label_163535f3-a261-44fa-a080-b5a7b0a48f70_Tag">
    <vt:lpwstr>50, 3, 0, 1</vt:lpwstr>
  </property>
</Properties>
</file>