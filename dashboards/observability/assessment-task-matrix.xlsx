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0" documentId="8_{C43D903D-FA90-4F59-8DDC-9EA935F8912F}" xr6:coauthVersionLast="47" xr6:coauthVersionMax="47" xr10:uidLastSave="{00000000-0000-0000-0000-000000000000}"/>
  <bookViews>
    <workbookView xWindow="0" yWindow="600" windowWidth="38400" windowHeight="17760" tabRatio="500" xr2:uid="{00000000-000D-0000-FFFF-FFFF00000000}"/>
  </bookViews>
  <sheets>
    <sheet name="High-level Summary" sheetId="1" r:id="rId1"/>
    <sheet name="Task-Service Matrix" sheetId="2" r:id="rId2"/>
    <sheet name="Layer-Metric Map" sheetId="3" r:id="rId3"/>
    <sheet name="Layer-Metric-Task Map" sheetId="4" r:id="rId4"/>
    <sheet name="Metric-Task Requirements" sheetId="5" r:id="rId5"/>
    <sheet name="Jira Backlog"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2" l="1"/>
  <c r="J7" i="2"/>
  <c r="J5" i="2"/>
</calcChain>
</file>

<file path=xl/sharedStrings.xml><?xml version="1.0" encoding="utf-8"?>
<sst xmlns="http://schemas.openxmlformats.org/spreadsheetml/2006/main" count="1209" uniqueCount="417">
  <si>
    <t>Tech Platform Observability Initiative - High-Level Summary</t>
  </si>
  <si>
    <t>METRIC PRIORITIES SUMMARY</t>
  </si>
  <si>
    <t>Priority</t>
  </si>
  <si>
    <t>Focus Areas</t>
  </si>
  <si>
    <t>Response Time</t>
  </si>
  <si>
    <t>Sprint Target</t>
  </si>
  <si>
    <t>Critical</t>
  </si>
  <si>
    <t>Error rates, latency, uptime, success rate</t>
  </si>
  <si>
    <t>Immediate (&lt;5 min)</t>
  </si>
  <si>
    <t>Sprint 1-2</t>
  </si>
  <si>
    <t>High</t>
  </si>
  <si>
    <t>Tenant metrics, throughput, alerts, dependencies</t>
  </si>
  <si>
    <t>Within 1 hour</t>
  </si>
  <si>
    <t>Sprint 2-4</t>
  </si>
  <si>
    <t>Medium</t>
  </si>
  <si>
    <t>Usage, adoption, historical trends, Mission Control</t>
  </si>
  <si>
    <t>24-48 hours</t>
  </si>
  <si>
    <t>Sprint 4-6</t>
  </si>
  <si>
    <t>Low</t>
  </si>
  <si>
    <t>Incident/change volume reporting</t>
  </si>
  <si>
    <t>Weekly review</t>
  </si>
  <si>
    <t>Backlog</t>
  </si>
  <si>
    <t>TASK PRIORITIES SUMMARY</t>
  </si>
  <si>
    <t>Task Categories</t>
  </si>
  <si>
    <t>Examples</t>
  </si>
  <si>
    <t>Overview dashboard, Alerting, Instrumentation gaps, Synthetic monitoring</t>
  </si>
  <si>
    <t>Create unified Tech Platform Overview dashboard</t>
  </si>
  <si>
    <t>Individual dashboards, Service enhancements, Label additions</t>
  </si>
  <si>
    <t>Create individual service dashboards, Add histogram buckets, Add endpoint labels</t>
  </si>
  <si>
    <t>Mission Control integration</t>
  </si>
  <si>
    <t>Onboard services to Mission Control, Configure health-metadata.json</t>
  </si>
  <si>
    <t>—</t>
  </si>
  <si>
    <t>SERVICE READINESS STATUS</t>
  </si>
  <si>
    <t>Service</t>
  </si>
  <si>
    <t>Common Name</t>
  </si>
  <si>
    <t>Language</t>
  </si>
  <si>
    <t>Prometheus Status</t>
  </si>
  <si>
    <t>Alerts/Runbooks</t>
  </si>
  <si>
    <t>Recommended Action</t>
  </si>
  <si>
    <t>service-config-manager</t>
  </si>
  <si>
    <t>Config-Mgr</t>
  </si>
  <si>
    <t>Python</t>
  </si>
  <si>
    <t>✅ Ready</t>
  </si>
  <si>
    <t>❌ Needs creation</t>
  </si>
  <si>
    <t>Build dashboards → Create alerts</t>
  </si>
  <si>
    <t>service-model-feedback</t>
  </si>
  <si>
    <t>Model-Feedback</t>
  </si>
  <si>
    <t>service-datascience-gateway</t>
  </si>
  <si>
    <t>Gateway</t>
  </si>
  <si>
    <t>Java</t>
  </si>
  <si>
    <t>⚠️ Partial (no histogram)</t>
  </si>
  <si>
    <t>Dashboard exists - enhance</t>
  </si>
  <si>
    <t>service-large-language-model</t>
  </si>
  <si>
    <t>LLM</t>
  </si>
  <si>
    <t>Complete - minor enhancements</t>
  </si>
  <si>
    <t>service-cmp-adapter</t>
  </si>
  <si>
    <t>CMP-Adapter</t>
  </si>
  <si>
    <t>❌ Missing</t>
  </si>
  <si>
    <t>BLOCKED - investigate deployment</t>
  </si>
  <si>
    <t>service-payroll-model</t>
  </si>
  <si>
    <t>Payroll</t>
  </si>
  <si>
    <t>⚠️ Partial (no status label)</t>
  </si>
  <si>
    <t>Has endpoint labels ✅ but no HTTP status - can't calculate error rates</t>
  </si>
  <si>
    <t>Task</t>
  </si>
  <si>
    <t>Metric(s)</t>
  </si>
  <si>
    <t>Jira</t>
  </si>
  <si>
    <t>Build Grafana dashboards (error rates, latency, throughput, success rate)</t>
  </si>
  <si>
    <t>5xx Errors Trend, 4xx Errors Trend, Latency Metrics, Throughput Metrics, Success Rate</t>
  </si>
  <si>
    <t>✅ Complete</t>
  </si>
  <si>
    <t>Required</t>
  </si>
  <si>
    <t>🔴 BLOCKED</t>
  </si>
  <si>
    <t>Enhance existing dashboards (add missing panels)</t>
  </si>
  <si>
    <t>App Dependency Health Checks, App (Custom) Errors Monitoring, Integration Metrics, Critical Business Metrics, Historical Trends</t>
  </si>
  <si>
    <t>N/A</t>
  </si>
  <si>
    <t>Create tenant-level dashboard views</t>
  </si>
  <si>
    <t>Tenant Fairness Checks, Tenant: Error Rate, Tenant: Response Latency</t>
  </si>
  <si>
    <t>⚠️ TBD</t>
  </si>
  <si>
    <t>Configure Arize Dashboard for Token/Cost Metrics</t>
  </si>
  <si>
    <t>Usage Metrics, Adoption Metrics</t>
  </si>
  <si>
    <t>Add histogram buckets for accurate P95/P99 latency</t>
  </si>
  <si>
    <t>HTTP Response Latency, Latency Metrics</t>
  </si>
  <si>
    <t>Add endpoint/uri labels to metrics</t>
  </si>
  <si>
    <t>✅ Has labels</t>
  </si>
  <si>
    <t>Add http_status label to metrics</t>
  </si>
  <si>
    <t>5xx Errors Trend, 4xx Errors Trend, App Error Rate, Success Rate</t>
  </si>
  <si>
    <t>✅ Has label</t>
  </si>
  <si>
    <t>🔴 Required</t>
  </si>
  <si>
    <t>Investigate tenant metrics approach (product_id not available)</t>
  </si>
  <si>
    <t>⚠️ Investigate</t>
  </si>
  <si>
    <t>Investigate service-cmp-adapter Prometheus deployment</t>
  </si>
  <si>
    <t>All metrics</t>
  </si>
  <si>
    <t>🔴 Critical</t>
  </si>
  <si>
    <t>Create alert rules</t>
  </si>
  <si>
    <t>Alerts Configured w/ Actionable SOPs, False Alarms (count), Alert Volume (count)</t>
  </si>
  <si>
    <t>✅ Exists</t>
  </si>
  <si>
    <t>⚠️ Partial</t>
  </si>
  <si>
    <t>Write runbook/SOP documentation</t>
  </si>
  <si>
    <t>Alerts Configured w/ Actionable SOPs, MTTA (mins), MTTM (mins)</t>
  </si>
  <si>
    <t>Configure PagerDuty integration</t>
  </si>
  <si>
    <t>Alerts Integration w/ PD, MTTA (mins), MTTM (mins), Incident Volume (count)</t>
  </si>
  <si>
    <t>Configure ui-metadata.json for Mission Control</t>
  </si>
  <si>
    <t>Mission Control: Service View Onboarded</t>
  </si>
  <si>
    <t>Configure health-metadata.json</t>
  </si>
  <si>
    <t>Mission Control: Critical Health Metrics, Mission Control: Dependencies Health Embedded, Mission Control: Cloud Infra Health Embedded</t>
  </si>
  <si>
    <t>Implement synthetic monitoring (internal - TBD)</t>
  </si>
  <si>
    <t>Actual Uptime</t>
  </si>
  <si>
    <t>Layer</t>
  </si>
  <si>
    <t>Layer Category</t>
  </si>
  <si>
    <t>Metric</t>
  </si>
  <si>
    <t>Metric Definition</t>
  </si>
  <si>
    <t>Layer 3</t>
  </si>
  <si>
    <t>Application-Specific Metrics</t>
  </si>
  <si>
    <t>5xx Errors Trend</t>
  </si>
  <si>
    <t>Service measures the 5xx errors trends to see anomalies.</t>
  </si>
  <si>
    <t>4xx Errors Trend</t>
  </si>
  <si>
    <t>Service measures the 4xx errors trends to see anomalies.</t>
  </si>
  <si>
    <t>HTTP Response Latency</t>
  </si>
  <si>
    <t xml:space="preserve">Service monitors the response latency of your HTTP request traffic. It's a critical performance metric, directly impacting user experience and overall application responsiveness. </t>
  </si>
  <si>
    <t>App Dependency Health Checks</t>
  </si>
  <si>
    <t xml:space="preserve">Service performs the Application dependency health checks to ensure no upstream / downstream issues. </t>
  </si>
  <si>
    <t>App (Custom) Errors Monitoring</t>
  </si>
  <si>
    <t>Service monitors custom (application specific) error checks to observe any anomalies which could cause business distrubtion.</t>
  </si>
  <si>
    <t>App Error Rate</t>
  </si>
  <si>
    <t>Service monitors the Application error rate within the defined threshold budget.</t>
  </si>
  <si>
    <t>Service is onboarded to Mission Control.</t>
  </si>
  <si>
    <t>Mission Control: Critical Health Metrics</t>
  </si>
  <si>
    <t>Service has integrated right set of health metrics to help detect issues promptly during incident triage.</t>
  </si>
  <si>
    <t>Mission Control: Dependencies Health Embedded</t>
  </si>
  <si>
    <t>Service has embedded all application shared dependencies within their service architecture e.g., AuthN, API Gateway etc.</t>
  </si>
  <si>
    <t>Mission Control: Cloud Infra Health Embedded</t>
  </si>
  <si>
    <t>Service has embedded all applicatin cloud dependencies within their service architecture e.g., ELB, ILB, DNS etc.</t>
  </si>
  <si>
    <t>Layer 4</t>
  </si>
  <si>
    <t>Business Value and User Impact</t>
  </si>
  <si>
    <t xml:space="preserve">Actual service availability (uptime) in production. This is based on combination of 2 key metrics: a) Synthetics: Service Availability b) VM node / Pod uptime availability </t>
  </si>
  <si>
    <t>Success Rate</t>
  </si>
  <si>
    <t>Service monitors the success rate. This indicate the percentage of successful business transactions serviced (interactive and/or background processing).</t>
  </si>
  <si>
    <t>Integration Metrics</t>
  </si>
  <si>
    <t>Service monitors the integration touch points primarily w.r.t upstream and downstream services. This helps gain insights if data is exchanged as per the defined contract.</t>
  </si>
  <si>
    <t>Usage Metrics</t>
  </si>
  <si>
    <t>Service monitors usage metrics to understand how the system, application, and/or a given feature is being used by the customer. This help understand users behavior, interaction with the system etc.</t>
  </si>
  <si>
    <t>.</t>
  </si>
  <si>
    <t>Throughput Metrics</t>
  </si>
  <si>
    <t>Service measures the number of requests handled by the system per unit of time (e.g., requests per second).</t>
  </si>
  <si>
    <t>Latency Metrics</t>
  </si>
  <si>
    <t>Service measures the time taken for requests to complete, usually tracked using percentiles (e.g., p95, p99) to capture slowest responses.</t>
  </si>
  <si>
    <t>Critical Business Metrics</t>
  </si>
  <si>
    <t>Service measures all the business metrics which are critical to an business application to help maintain customer experience.</t>
  </si>
  <si>
    <t>Tenant Fairness Checks</t>
  </si>
  <si>
    <t>Service measures the tenant fairness end to end. This ensures that each tenant gets fair access to resources and services, even when they are sharing the same infrastructure.</t>
  </si>
  <si>
    <t>Tenant: Error Rate</t>
  </si>
  <si>
    <t>Service measures the tenant specific error rate.</t>
  </si>
  <si>
    <t>Tenant: Response Latency</t>
  </si>
  <si>
    <t>Service measures tenant specific response latency. This would help in gaining insights on tenant specific issues (e.g. high latency due to noisy tenant in the system).</t>
  </si>
  <si>
    <t>Adoption Metrics</t>
  </si>
  <si>
    <t xml:space="preserve">Service measure how well users integrate a product or feature into their regular usage, indicating the success of new releases or features. These metrics provide valuable insights into user behavior and help product teams understand if their efforts are meeting user needs and goals. </t>
  </si>
  <si>
    <t>Historical Trends</t>
  </si>
  <si>
    <t>Service monitors Historical trends to spot long term issues, such as performance degradation, memory leak, resource overuse.</t>
  </si>
  <si>
    <t>Alerts Configured w/ Actionable SOPs</t>
  </si>
  <si>
    <t>Service alerts have actionable SOPs to restore service and/or business functionality.</t>
  </si>
  <si>
    <t>Alerts Integration w/ PD</t>
  </si>
  <si>
    <t>Service alerts are configured to UKG incident management system, Pager Duty, to prevent and resolve business-impacting incidents.</t>
  </si>
  <si>
    <t>Layer 5</t>
  </si>
  <si>
    <t>Observability Outcomes</t>
  </si>
  <si>
    <t>MTTA (mins)</t>
  </si>
  <si>
    <t>Average time it takes from when an alert is triggered to when work begins on the issue. This metric is useful for tracking your team’s responsiveness and your alert system’s effectiveness. To calculate your MTTA, add up the time between alert and acknowledgement, then divide by the number of incidents.</t>
  </si>
  <si>
    <t>MTTM (mins)</t>
  </si>
  <si>
    <t>Average time it takes to resolve a system or product failure, from the time the problem occurs to when the system is fully operational again. This is a crucial metric for understanding how efficiently an organization can respond to and resolve incidents, ultimately impacting system reliability and user satisfaction. It is calculated by summing the total time taken to mitigate all incidents within a specific period and then dividing that total by the number of incidents during that period.</t>
  </si>
  <si>
    <t>False Alarms (count)</t>
  </si>
  <si>
    <t>Total count of alerts that indicates a problem or threat when, in reality, there is none.</t>
  </si>
  <si>
    <t>Alert Volume (count)</t>
  </si>
  <si>
    <t>The count of alerts generated in Pager Duty for a Service.</t>
  </si>
  <si>
    <t>Incident Volume (count)</t>
  </si>
  <si>
    <t>The number of incidents opened for a Service resulted in a swarm bridge.</t>
  </si>
  <si>
    <t>Change Volume (count)</t>
  </si>
  <si>
    <t>The number of changes related to emergency fixes and/or critical updates post a standard release.</t>
  </si>
  <si>
    <t>LAYER-METRIC-TASK MAP (with Gateway Status)</t>
  </si>
  <si>
    <t>Category</t>
  </si>
  <si>
    <t>Task(s) to Complete</t>
  </si>
  <si>
    <t>Gateway Status</t>
  </si>
  <si>
    <t>Gateway Notes</t>
  </si>
  <si>
    <t>Build Grafana dashboards for Python services; Enhance Gateway dashboard</t>
  </si>
  <si>
    <t>✅</t>
  </si>
  <si>
    <t>Panel: "5xx Error Rate (Current)" + "Success &amp; Error Rate Trend" + "5xx Error Rate by URI"</t>
  </si>
  <si>
    <t>Panel: "4xx Error Rate (Current)" + "4xx Error Rate by URI"</t>
  </si>
  <si>
    <t>Build Grafana dashboards for Python services; Add histogram buckets to Gateway; Add endpoint/uri label to Python services</t>
  </si>
  <si>
    <t>⚠️</t>
  </si>
  <si>
    <t>Has avg/max latency, P95 is ESTIMATED (avg*2) - no histogram buckets</t>
  </si>
  <si>
    <t>Token validation metrics exist; no explicit dependency health panel</t>
  </si>
  <si>
    <t>Build Grafana dashboards for Python services</t>
  </si>
  <si>
    <t>Token validation errors tracked; no other custom error monitoring</t>
  </si>
  <si>
    <t>Build Grafana dashboards for Python services; Create alert rules for Python services; Add HTTP status label to service-payroll-model</t>
  </si>
  <si>
    <t>Panel: "Combined Error Rate (Current)" + HTTP status breakdown</t>
  </si>
  <si>
    <t>Onboard services to Mission Control</t>
  </si>
  <si>
    <t>❌</t>
  </si>
  <si>
    <t>Not yet onboarded to Mission Control</t>
  </si>
  <si>
    <t>health-metadata.json not configured</t>
  </si>
  <si>
    <t>Implement synthetic availability tests</t>
  </si>
  <si>
    <t>No synthetic monitoring - requires Datadog setup</t>
  </si>
  <si>
    <t>Implement synthetic availability tests; Build Grafana dashboards for Python services</t>
  </si>
  <si>
    <t>Panel: "HTTP Success Rate (Current)"</t>
  </si>
  <si>
    <t>Token validation shows auth integration; no other integration metrics</t>
  </si>
  <si>
    <t>Configure Arize Dashboard for Token/Cost Metrics; Enhance existing LLM service dashboard</t>
  </si>
  <si>
    <t>Arize metrics are for LLM service, not Gateway</t>
  </si>
  <si>
    <t>Panel: "Current Request Rate (RPS)" + "Request Rate Over Time"</t>
  </si>
  <si>
    <t>Avg latency ✅, P95/P99 estimated ⚠️ - needs histogram buckets</t>
  </si>
  <si>
    <t>Token validation metrics present; no LLM-specific business metrics</t>
  </si>
  <si>
    <t>Create tenant-level dashboard views (requires tenant label investigation)</t>
  </si>
  <si>
    <t>product_id not available; substream_id available but usage TBD</t>
  </si>
  <si>
    <t>Error rates exist but no tenant-level breakdown</t>
  </si>
  <si>
    <t>Latency exists but no tenant-level breakdown</t>
  </si>
  <si>
    <t>Enhance existing LLM service dashboard</t>
  </si>
  <si>
    <t>Adoption metrics are for LLM service features</t>
  </si>
  <si>
    <t>Multiple timeseries panels show historical trends</t>
  </si>
  <si>
    <t>Create alert rules for Python services; Write runbook/SOP documentation</t>
  </si>
  <si>
    <t>Alerts need creation per High-level Summary</t>
  </si>
  <si>
    <t>PagerDuty integration pending</t>
  </si>
  <si>
    <t>Configure PagerDuty integration; Create alert rules for Python services</t>
  </si>
  <si>
    <t>Requires alerts + PagerDuty integration</t>
  </si>
  <si>
    <t>Configure PagerDuty integration; Write runbook/SOP documentation</t>
  </si>
  <si>
    <t>Requires alerts + runbooks</t>
  </si>
  <si>
    <t>Create alert rules for Python services (tune thresholds)</t>
  </si>
  <si>
    <t>No alerts configured yet</t>
  </si>
  <si>
    <t>Create alert rules for Python services; Configure PagerDuty integration</t>
  </si>
  <si>
    <t>Requires PagerDuty integration</t>
  </si>
  <si>
    <t>N/A - tracked via change management process</t>
  </si>
  <si>
    <t>Tracked externally via change management</t>
  </si>
  <si>
    <t>GATEWAY STATUS SUMMARY</t>
  </si>
  <si>
    <t>✅ Implemented:</t>
  </si>
  <si>
    <t>⚠️ Partial:</t>
  </si>
  <si>
    <t>❌ Not Implemented:</t>
  </si>
  <si>
    <t>N/A:</t>
  </si>
  <si>
    <t>PRIORITY LEGEND</t>
  </si>
  <si>
    <t>Error rates, latency, uptime, success rate - Immediate (&lt;5 min)</t>
  </si>
  <si>
    <t>Tenant metrics, throughput, alerts, dependencies - Within 1 hour</t>
  </si>
  <si>
    <t>Usage, adoption, historical trends, Mission Control - 24-48 hours</t>
  </si>
  <si>
    <t>Incident/change volume reporting - Weekly review</t>
  </si>
  <si>
    <t>STATUS LEGEND</t>
  </si>
  <si>
    <t>✅ = Fully implemented in Grafana dashboard</t>
  </si>
  <si>
    <t>⚠️ = Partially implemented (has panels but with limitations)</t>
  </si>
  <si>
    <t>❌ = Not implemented / requires work</t>
  </si>
  <si>
    <t>N/A = Not applicable to this service</t>
  </si>
  <si>
    <t>METRIC-TO-TASK REQUIREMENTS MAP</t>
  </si>
  <si>
    <t>Tasks required to satisfy each metric by service</t>
  </si>
  <si>
    <t>Build Grafana dashboard with 5xx error panels</t>
  </si>
  <si>
    <t>🔴 BLOCKED: Investigate Prometheus deployment first</t>
  </si>
  <si>
    <t>🔴 BLOCKED: Add http_status label to metrics first</t>
  </si>
  <si>
    <t>Build Grafana dashboard with 4xx error panels</t>
  </si>
  <si>
    <t>Add histogram buckets for accurate P95/P99</t>
  </si>
  <si>
    <t>✅ Complete (has histogram buckets)</t>
  </si>
  <si>
    <t>1) Add endpoint labels to latency metrics; 2) Build dashboard</t>
  </si>
  <si>
    <t>Build Grafana dashboard (has endpoint labels)</t>
  </si>
  <si>
    <t>Add dependency health check panels (beyond token validation)</t>
  </si>
  <si>
    <t>Add dependency health check panels</t>
  </si>
  <si>
    <t>Implement dependency health checks + dashboard</t>
  </si>
  <si>
    <t>Add custom error monitoring beyond HTTP status</t>
  </si>
  <si>
    <t>Implement custom error metrics + dashboard</t>
  </si>
  <si>
    <t>Build Grafana dashboard with error rate panels</t>
  </si>
  <si>
    <t>🔴 BLOCKED: Add http_status label first</t>
  </si>
  <si>
    <t>Configure health-metadata.json with critical metrics</t>
  </si>
  <si>
    <t>Add dependency health to health-metadata.json</t>
  </si>
  <si>
    <t>Add cloud infra health to health-metadata.json</t>
  </si>
  <si>
    <t>Build Grafana dashboard with success rate panel</t>
  </si>
  <si>
    <t>Add integration health panels beyond token validation</t>
  </si>
  <si>
    <t>Add integration health panels</t>
  </si>
  <si>
    <t>Implement integration metrics + dashboard</t>
  </si>
  <si>
    <t>N/A - LLM-specific metric</t>
  </si>
  <si>
    <t>✅ Complete (token count, avg tokens per call)</t>
  </si>
  <si>
    <t>Build Grafana dashboard with RPS panels</t>
  </si>
  <si>
    <t>Add histogram buckets for accurate percentiles</t>
  </si>
  <si>
    <t>✅ Complete (P50, P90, P95, P99)</t>
  </si>
  <si>
    <t>1) Add endpoint labels; 2) Build dashboard with latency panels</t>
  </si>
  <si>
    <t>Build Grafana dashboard with latency panels</t>
  </si>
  <si>
    <t>Define and implement gateway-specific business metrics</t>
  </si>
  <si>
    <t>✅ Complete (token metrics)</t>
  </si>
  <si>
    <t>N/A - service-specific</t>
  </si>
  <si>
    <t>⚠️ Investigate: product_id not available; substream_id usage TBD</t>
  </si>
  <si>
    <t>⚠️ product_id not available; investigate substream_id</t>
  </si>
  <si>
    <t>⚠️ product_id not available; substream_id available, usage TBD</t>
  </si>
  <si>
    <t>🔴 BLOCKED: http_status label needed; product_id not available</t>
  </si>
  <si>
    <t>✅ Complete (endpoint distribution)</t>
  </si>
  <si>
    <t>Build Grafana dashboard with timeseries panels</t>
  </si>
  <si>
    <t>Create alert rules; write runbook documentation</t>
  </si>
  <si>
    <t>Complete alert rules; write runbook documentation (panels exist)</t>
  </si>
  <si>
    <t>🔴 BLOCKED: Add http_status label first; then create alerts</t>
  </si>
  <si>
    <t>Configure PagerDuty integration for alerts</t>
  </si>
  <si>
    <t>Requires: Alert rules + PagerDuty integration</t>
  </si>
  <si>
    <t>Requires: PagerDuty integration (alert panels exist)</t>
  </si>
  <si>
    <t>🔴 BLOCKED: Add http_status first; then alerts + PD</t>
  </si>
  <si>
    <t>Requires: Alert rules + runbooks + PagerDuty</t>
  </si>
  <si>
    <t>Requires: Runbooks + PagerDuty integration</t>
  </si>
  <si>
    <t>🔴 BLOCKED: Add http_status first; then alerts + runbooks</t>
  </si>
  <si>
    <t>Requires: Alert rules (then tune thresholds)</t>
  </si>
  <si>
    <t>Requires: PagerDuty integration (then tune thresholds)</t>
  </si>
  <si>
    <t>🔴 BLOCKED: Add http_status first; then alerts</t>
  </si>
  <si>
    <t>Requires: PagerDuty integration</t>
  </si>
  <si>
    <t>N/A - tracked via change management</t>
  </si>
  <si>
    <t>TECH PLATFORM OBSERVABILITY - JIRA BACKLOG</t>
  </si>
  <si>
    <t>Jira ID</t>
  </si>
  <si>
    <t>Existing Jira</t>
  </si>
  <si>
    <t>Summary</t>
  </si>
  <si>
    <t>Size</t>
  </si>
  <si>
    <t>Service(s)</t>
  </si>
  <si>
    <t>Status</t>
  </si>
  <si>
    <t>Blocked By</t>
  </si>
  <si>
    <t>Metrics Addressed</t>
  </si>
  <si>
    <t>Notes</t>
  </si>
  <si>
    <t>TP-001</t>
  </si>
  <si>
    <t>Investigate CMP-Adapter Prometheus deployment</t>
  </si>
  <si>
    <t>M</t>
  </si>
  <si>
    <t>Sprint 1</t>
  </si>
  <si>
    <t>To Do</t>
  </si>
  <si>
    <t>All CMP-Adapter metrics</t>
  </si>
  <si>
    <t>BLOCKER: Must be resolved before any CMP-Adapter observability work</t>
  </si>
  <si>
    <t>TP-002</t>
  </si>
  <si>
    <t>Add http_status label to Payroll metrics</t>
  </si>
  <si>
    <t>S</t>
  </si>
  <si>
    <t>5xx/4xx Errors, App Error Rate, Success Rate</t>
  </si>
  <si>
    <t>Required for error rate calculations</t>
  </si>
  <si>
    <t>TP-003</t>
  </si>
  <si>
    <t>Add histogram buckets to Gateway for P95/P99 latency</t>
  </si>
  <si>
    <t>Currently using estimated P95 (avg*2)</t>
  </si>
  <si>
    <t>TP-004</t>
  </si>
  <si>
    <t>PS-721616</t>
  </si>
  <si>
    <t>Add endpoint/uri labels to Config-Mgr metrics</t>
  </si>
  <si>
    <t>Enables per-endpoint latency analysis</t>
  </si>
  <si>
    <t>TP-005</t>
  </si>
  <si>
    <t>Add endpoint/uri labels to Model-Feedback metrics</t>
  </si>
  <si>
    <t>TP-006</t>
  </si>
  <si>
    <t>Build Grafana dashboard for Config-Mgr</t>
  </si>
  <si>
    <t>L</t>
  </si>
  <si>
    <t>5xx/4xx Errors, Latency, Throughput, Success Rate</t>
  </si>
  <si>
    <t>Core observability dashboard</t>
  </si>
  <si>
    <t>TP-007</t>
  </si>
  <si>
    <t>Build Grafana dashboard for Model-Feedback</t>
  </si>
  <si>
    <t>TP-008</t>
  </si>
  <si>
    <t>Build Grafana dashboard for Payroll</t>
  </si>
  <si>
    <t>TP-009</t>
  </si>
  <si>
    <t>Implement synthetic monitoring solution (internal)</t>
  </si>
  <si>
    <t>XL</t>
  </si>
  <si>
    <t>All Services</t>
  </si>
  <si>
    <t>Sprint 2</t>
  </si>
  <si>
    <t>TBD - internal solution, no Datadog</t>
  </si>
  <si>
    <t>TP-010</t>
  </si>
  <si>
    <t>Enhance Gateway dashboard with missing panels</t>
  </si>
  <si>
    <t>App Dependency Health, Custom Errors, Integration Metrics</t>
  </si>
  <si>
    <t>Add dependency health, custom error monitoring</t>
  </si>
  <si>
    <t>TP-011</t>
  </si>
  <si>
    <t>Enhance LLM dashboard with missing panels</t>
  </si>
  <si>
    <t>TP-012</t>
  </si>
  <si>
    <t>PS-721596</t>
  </si>
  <si>
    <t>Investigate tenant metrics approach (substream_id)</t>
  </si>
  <si>
    <t>Tenant Fairness, Tenant Error Rate, Tenant Latency</t>
  </si>
  <si>
    <t>product_id not available; evaluate substream_id usage</t>
  </si>
  <si>
    <t>TP-013</t>
  </si>
  <si>
    <t>Gateway, LLM, Config-Mgr, Model-Feedback, Payroll</t>
  </si>
  <si>
    <t>Sprint 2-3</t>
  </si>
  <si>
    <t>Pending tenant metrics investigation</t>
  </si>
  <si>
    <t>TP-014</t>
  </si>
  <si>
    <t>Complete LLM alert rules</t>
  </si>
  <si>
    <t>Partial alerts exist</t>
  </si>
  <si>
    <t>TP-015</t>
  </si>
  <si>
    <t>Create alert rules for Config-Mgr</t>
  </si>
  <si>
    <t>Requires dashboard first</t>
  </si>
  <si>
    <t>TP-016</t>
  </si>
  <si>
    <t>Create alert rules for Model-Feedback</t>
  </si>
  <si>
    <t>TP-017</t>
  </si>
  <si>
    <t>Create alert rules for Payroll</t>
  </si>
  <si>
    <t>Sprint 3</t>
  </si>
  <si>
    <t>TP-002, TP-008</t>
  </si>
  <si>
    <t>Blocked by http_status label</t>
  </si>
  <si>
    <t>TP-018</t>
  </si>
  <si>
    <t>Complete LLM runbook/SOP documentation</t>
  </si>
  <si>
    <t>MTTA, MTTM</t>
  </si>
  <si>
    <t>Partial runbooks exist</t>
  </si>
  <si>
    <t>TP-019</t>
  </si>
  <si>
    <t>Write runbook/SOP documentation for Config-Mgr</t>
  </si>
  <si>
    <t>Requires alert rules first</t>
  </si>
  <si>
    <t>TP-020</t>
  </si>
  <si>
    <t>Write runbook/SOP documentation for Model-Feedback</t>
  </si>
  <si>
    <t>TP-021</t>
  </si>
  <si>
    <t>Write runbook/SOP documentation for Payroll</t>
  </si>
  <si>
    <t>Sprint 3-4</t>
  </si>
  <si>
    <t>TP-022</t>
  </si>
  <si>
    <t>Alerts Integration w/ PD, MTTA, MTTM, Incident Volume</t>
  </si>
  <si>
    <t>Platform-wide integration</t>
  </si>
  <si>
    <t>TP-023</t>
  </si>
  <si>
    <t>Sprint 4</t>
  </si>
  <si>
    <t>Onboard all services to Mission Control</t>
  </si>
  <si>
    <t>TP-024</t>
  </si>
  <si>
    <t>Configure health-metadata.json for Gateway</t>
  </si>
  <si>
    <t>MC: Critical Health, Dependencies, Cloud Infra</t>
  </si>
  <si>
    <t>Mission Control health integration</t>
  </si>
  <si>
    <t>TP-025</t>
  </si>
  <si>
    <t>Configure health-metadata.json for LLM</t>
  </si>
  <si>
    <t>TP-026</t>
  </si>
  <si>
    <t>Configure health-metadata.json for Config-Mgr</t>
  </si>
  <si>
    <t>TP-027</t>
  </si>
  <si>
    <t>Configure health-metadata.json for Model-Feedback</t>
  </si>
  <si>
    <t>TP-028</t>
  </si>
  <si>
    <t>Configure health-metadata.json for Payroll</t>
  </si>
  <si>
    <t>TP-029</t>
  </si>
  <si>
    <t>PS-721646</t>
  </si>
  <si>
    <t>LLM-specific usage tracking</t>
  </si>
  <si>
    <t>SUMMARY</t>
  </si>
  <si>
    <t>Total Jiras:</t>
  </si>
  <si>
    <t>Critical:</t>
  </si>
  <si>
    <t>High:</t>
  </si>
  <si>
    <t>Medium:</t>
  </si>
  <si>
    <t>SIZE LEGEND</t>
  </si>
  <si>
    <t>S = Small</t>
  </si>
  <si>
    <t>1-2 days</t>
  </si>
  <si>
    <t>M = Medium</t>
  </si>
  <si>
    <t>3-5 days</t>
  </si>
  <si>
    <t>L = Large</t>
  </si>
  <si>
    <t>1-2 weeks</t>
  </si>
  <si>
    <t>XL = Extra Large</t>
  </si>
  <si>
    <t>2+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</si>
</sst>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charset val="1"/>
    </font>
    <font>
      <sz val="12"/>
      <color theme="1"/>
      <name val="Calibri"/>
      <family val="2"/>
      <scheme val="minor"/>
    </font>
    <font>
      <b/>
      <sz val="12"/>
      <color theme="1"/>
      <name val="Calibri"/>
      <family val="2"/>
      <scheme val="minor"/>
    </font>
    <font>
      <sz val="12"/>
      <color rgb="FF000000"/>
      <name val="Calibri"/>
      <family val="2"/>
      <scheme val="minor"/>
    </font>
    <font>
      <sz val="12"/>
      <color theme="1"/>
      <name val="Calibri"/>
      <family val="2"/>
    </font>
    <font>
      <sz val="12"/>
      <color theme="1" tint="0.499984740745262"/>
      <name val="Calibri"/>
      <family val="2"/>
      <scheme val="minor"/>
    </font>
    <font>
      <b/>
      <sz val="12"/>
      <name val="Calibri"/>
    </font>
    <font>
      <sz val="12"/>
      <color theme="1"/>
      <name val="Calibri"/>
      <family val="2"/>
      <charset val="1"/>
    </font>
    <font>
      <sz val="12"/>
      <color rgb="FF1F4E79"/>
      <name val="Calibri"/>
      <scheme val="minor"/>
    </font>
    <font>
      <sz val="12"/>
      <color theme="1"/>
      <name val="Calibri"/>
      <scheme val="minor"/>
    </font>
    <font>
      <sz val="12"/>
      <color rgb="FFFFFFFF"/>
      <name val="Calibri"/>
      <scheme val="minor"/>
    </font>
    <font>
      <sz val="12"/>
      <name val="Calibri"/>
      <scheme val="minor"/>
    </font>
    <font>
      <b/>
      <sz val="10"/>
      <name val="Calibri"/>
      <scheme val="minor"/>
    </font>
    <font>
      <sz val="10"/>
      <color theme="1"/>
      <name val="Calibri"/>
      <scheme val="minor"/>
    </font>
    <font>
      <i/>
      <sz val="10"/>
      <name val="Calibri"/>
      <scheme val="minor"/>
    </font>
    <font>
      <b/>
      <sz val="10"/>
      <color rgb="FFFFFFFF"/>
      <name val="Calibri"/>
      <scheme val="minor"/>
    </font>
    <font>
      <b/>
      <sz val="10"/>
      <color rgb="FF006400"/>
      <name val="Calibri"/>
      <scheme val="minor"/>
    </font>
    <font>
      <i/>
      <sz val="10"/>
      <color rgb="FF808080"/>
      <name val="Calibri"/>
      <scheme val="minor"/>
    </font>
    <font>
      <b/>
      <sz val="11"/>
      <color rgb="FFFFFFFF"/>
      <name val="Calibri"/>
    </font>
    <font>
      <b/>
      <sz val="11"/>
      <name val="Calibri"/>
    </font>
    <font>
      <b/>
      <sz val="10"/>
      <name val="Calibri"/>
    </font>
    <font>
      <sz val="10"/>
      <color theme="1"/>
      <name val="Calibri"/>
      <family val="2"/>
      <charset val="1"/>
    </font>
    <font>
      <b/>
      <sz val="10"/>
      <color rgb="FFFFFFFF"/>
      <name val="Calibri"/>
    </font>
    <font>
      <sz val="10"/>
      <name val="Calibri"/>
      <scheme val="minor"/>
    </font>
    <font>
      <u/>
      <sz val="11"/>
      <color rgb="FF0563C1"/>
      <name val="Calibri"/>
    </font>
    <font>
      <sz val="10"/>
      <color rgb="FFFFFFFF"/>
      <name val="Calibri"/>
      <scheme val="minor"/>
    </font>
  </fonts>
  <fills count="22">
    <fill>
      <patternFill patternType="none"/>
    </fill>
    <fill>
      <patternFill patternType="gray125"/>
    </fill>
    <fill>
      <patternFill patternType="solid">
        <fgColor theme="4" tint="0.79998168889431442"/>
        <bgColor indexed="64"/>
      </patternFill>
    </fill>
    <fill>
      <patternFill patternType="solid">
        <fgColor rgb="FF1F4E79"/>
      </patternFill>
    </fill>
    <fill>
      <patternFill patternType="solid">
        <fgColor rgb="FFFFCDD2"/>
      </patternFill>
    </fill>
    <fill>
      <patternFill patternType="solid">
        <fgColor rgb="FFFFF9C4"/>
      </patternFill>
    </fill>
    <fill>
      <patternFill patternType="solid">
        <fgColor rgb="FFC8E6C9"/>
      </patternFill>
    </fill>
    <fill>
      <patternFill patternType="solid">
        <fgColor rgb="FF2F5496"/>
        <bgColor rgb="FF2F5496"/>
      </patternFill>
    </fill>
    <fill>
      <patternFill patternType="solid">
        <fgColor rgb="FFF8CBAD"/>
        <bgColor rgb="FFF8CBAD"/>
      </patternFill>
    </fill>
    <fill>
      <patternFill patternType="solid">
        <fgColor rgb="FFFFE699"/>
        <bgColor rgb="FFFFE699"/>
      </patternFill>
    </fill>
    <fill>
      <patternFill patternType="solid">
        <fgColor rgb="FFDDEBF7"/>
        <bgColor rgb="FFDDEBF7"/>
      </patternFill>
    </fill>
    <fill>
      <patternFill patternType="solid">
        <fgColor rgb="FFC6EFCE"/>
        <bgColor rgb="FFC6EFCE"/>
      </patternFill>
    </fill>
    <fill>
      <patternFill patternType="solid">
        <fgColor rgb="FFC8E6C9"/>
        <bgColor rgb="FFC8E6C9"/>
      </patternFill>
    </fill>
    <fill>
      <patternFill patternType="solid">
        <fgColor rgb="FFE3F2FD"/>
        <bgColor rgb="FFE3F2FD"/>
      </patternFill>
    </fill>
    <fill>
      <patternFill patternType="solid">
        <fgColor rgb="FFFFCDD2"/>
        <bgColor rgb="FFFFCDD2"/>
      </patternFill>
    </fill>
    <fill>
      <patternFill patternType="solid">
        <fgColor rgb="FFFFF9C4"/>
        <bgColor rgb="FFFFF9C4"/>
      </patternFill>
    </fill>
    <fill>
      <patternFill patternType="solid">
        <fgColor rgb="FFE8F5E9"/>
        <bgColor rgb="FFE8F5E9"/>
      </patternFill>
    </fill>
    <fill>
      <patternFill patternType="solid">
        <fgColor theme="0"/>
        <bgColor indexed="64"/>
      </patternFill>
    </fill>
    <fill>
      <patternFill patternType="solid">
        <fgColor rgb="FFFFCCCB"/>
        <bgColor rgb="FFFFCCCB"/>
      </patternFill>
    </fill>
    <fill>
      <patternFill patternType="solid">
        <fgColor rgb="FFFFE5B4"/>
        <bgColor rgb="FFFFE5B4"/>
      </patternFill>
    </fill>
    <fill>
      <patternFill patternType="solid">
        <fgColor rgb="FFFFFACD"/>
        <bgColor rgb="FFFFFACD"/>
      </patternFill>
    </fill>
    <fill>
      <patternFill patternType="solid">
        <fgColor rgb="FF4472C4"/>
        <bgColor rgb="FF4472C4"/>
      </patternFill>
    </fill>
  </fills>
  <borders count="13">
    <border>
      <left/>
      <right/>
      <top/>
      <bottom/>
      <diagonal/>
    </border>
    <border>
      <left style="thin">
        <color auto="1"/>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top/>
      <bottom/>
      <diagonal/>
    </border>
    <border>
      <left/>
      <right style="thin">
        <color rgb="FF000000"/>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3">
    <xf numFmtId="0" fontId="0" fillId="0" borderId="0" xfId="0"/>
    <xf numFmtId="0" fontId="2" fillId="2" borderId="2" xfId="0" applyFont="1" applyFill="1" applyBorder="1"/>
    <xf numFmtId="0" fontId="2" fillId="2" borderId="3" xfId="0" applyFont="1" applyFill="1" applyBorder="1"/>
    <xf numFmtId="0" fontId="2" fillId="2" borderId="4" xfId="0" applyFont="1" applyFill="1" applyBorder="1"/>
    <xf numFmtId="0" fontId="0" fillId="0" borderId="5" xfId="0" applyBorder="1"/>
    <xf numFmtId="0" fontId="0" fillId="0" borderId="1" xfId="0" applyBorder="1"/>
    <xf numFmtId="0" fontId="0" fillId="0" borderId="6" xfId="0" applyBorder="1"/>
    <xf numFmtId="0" fontId="3" fillId="0" borderId="1" xfId="0" applyFont="1" applyBorder="1" applyAlignment="1">
      <alignment horizontal="left"/>
    </xf>
    <xf numFmtId="0" fontId="3" fillId="0" borderId="6" xfId="0" applyFont="1" applyBorder="1" applyAlignment="1">
      <alignment horizontal="left"/>
    </xf>
    <xf numFmtId="0" fontId="3" fillId="0" borderId="1" xfId="0" applyFont="1" applyBorder="1"/>
    <xf numFmtId="0" fontId="4" fillId="0" borderId="1" xfId="0" applyFont="1" applyBorder="1" applyAlignment="1">
      <alignment horizontal="left"/>
    </xf>
    <xf numFmtId="0" fontId="1" fillId="0" borderId="1" xfId="0" applyFont="1" applyBorder="1"/>
    <xf numFmtId="0" fontId="5" fillId="0" borderId="5" xfId="0" applyFont="1" applyBorder="1"/>
    <xf numFmtId="0" fontId="5" fillId="0" borderId="1" xfId="0" applyFont="1" applyBorder="1" applyAlignment="1">
      <alignment horizontal="left"/>
    </xf>
    <xf numFmtId="0" fontId="5" fillId="0" borderId="6" xfId="0" applyFont="1" applyBorder="1" applyAlignment="1">
      <alignment horizontal="left"/>
    </xf>
    <xf numFmtId="0" fontId="0" fillId="0" borderId="1" xfId="0" applyBorder="1" applyAlignment="1">
      <alignment vertical="center"/>
    </xf>
    <xf numFmtId="0" fontId="3" fillId="0" borderId="6" xfId="0" applyFont="1" applyBorder="1" applyAlignment="1">
      <alignment vertical="center"/>
    </xf>
    <xf numFmtId="0" fontId="0" fillId="0" borderId="1" xfId="0" applyBorder="1" applyAlignment="1">
      <alignment horizontal="left"/>
    </xf>
    <xf numFmtId="0" fontId="0" fillId="0" borderId="7" xfId="0" applyBorder="1"/>
    <xf numFmtId="0" fontId="0" fillId="0" borderId="8" xfId="0" applyBorder="1" applyAlignment="1">
      <alignment horizontal="left"/>
    </xf>
    <xf numFmtId="0" fontId="3" fillId="0" borderId="9" xfId="0" applyFont="1" applyBorder="1" applyAlignment="1">
      <alignment horizontal="left"/>
    </xf>
    <xf numFmtId="0" fontId="3" fillId="0" borderId="0" xfId="0" applyFont="1"/>
    <xf numFmtId="0" fontId="0" fillId="0" borderId="0" xfId="0" applyAlignment="1">
      <alignment vertical="center"/>
    </xf>
    <xf numFmtId="0" fontId="0" fillId="0" borderId="0" xfId="0" applyAlignment="1">
      <alignment horizontal="left"/>
    </xf>
    <xf numFmtId="0" fontId="4" fillId="0" borderId="0" xfId="0" applyFont="1" applyAlignment="1">
      <alignment horizontal="left"/>
    </xf>
    <xf numFmtId="0" fontId="10" fillId="0" borderId="0" xfId="0" applyFont="1" applyAlignment="1">
      <alignment horizontal="center"/>
    </xf>
    <xf numFmtId="0" fontId="9" fillId="0" borderId="0" xfId="0" applyFont="1" applyAlignment="1">
      <alignment vertical="center" wrapText="1"/>
    </xf>
    <xf numFmtId="0" fontId="14" fillId="0" borderId="0" xfId="0" applyFont="1"/>
    <xf numFmtId="0" fontId="9" fillId="0" borderId="10" xfId="0" applyFont="1" applyBorder="1"/>
    <xf numFmtId="0" fontId="9" fillId="0" borderId="0" xfId="0" applyFont="1" applyAlignment="1">
      <alignment horizontal="center" vertical="center"/>
    </xf>
    <xf numFmtId="0" fontId="18" fillId="17" borderId="0" xfId="0" applyFont="1" applyFill="1" applyAlignment="1">
      <alignment horizontal="center" vertical="center"/>
    </xf>
    <xf numFmtId="0" fontId="18" fillId="17" borderId="10" xfId="0" applyFont="1" applyFill="1" applyBorder="1" applyAlignment="1">
      <alignment horizontal="center" vertical="center"/>
    </xf>
    <xf numFmtId="0" fontId="9" fillId="0" borderId="10" xfId="0" applyFont="1" applyBorder="1" applyAlignment="1">
      <alignment horizontal="center" vertical="center"/>
    </xf>
    <xf numFmtId="0" fontId="21" fillId="0" borderId="0" xfId="0" applyFont="1"/>
    <xf numFmtId="0" fontId="19" fillId="17" borderId="0" xfId="0" applyFont="1" applyFill="1"/>
    <xf numFmtId="0" fontId="0" fillId="17" borderId="0" xfId="0" applyFill="1"/>
    <xf numFmtId="0" fontId="9" fillId="0" borderId="0" xfId="0" applyFont="1"/>
    <xf numFmtId="0" fontId="13" fillId="0" borderId="0" xfId="0" applyFont="1"/>
    <xf numFmtId="0" fontId="20" fillId="0" borderId="0" xfId="0" applyFont="1"/>
    <xf numFmtId="0" fontId="7" fillId="0" borderId="0" xfId="0" applyFont="1"/>
    <xf numFmtId="0" fontId="6" fillId="0" borderId="0" xfId="0" applyFont="1"/>
    <xf numFmtId="0" fontId="0" fillId="0" borderId="0" xfId="0"/>
    <xf numFmtId="0" fontId="19" fillId="0" borderId="0" xfId="0" applyFont="1"/>
    <xf numFmtId="0" fontId="0" fillId="18" borderId="0" xfId="0" applyFill="1"/>
    <xf numFmtId="0" fontId="0" fillId="19" borderId="0" xfId="0" applyFill="1"/>
    <xf numFmtId="0" fontId="0" fillId="20" borderId="0" xfId="0" applyFill="1"/>
    <xf numFmtId="0" fontId="0" fillId="18" borderId="12" xfId="0" applyFill="1" applyBorder="1"/>
    <xf numFmtId="0" fontId="24" fillId="18" borderId="12" xfId="0" applyFont="1" applyFill="1" applyBorder="1" applyAlignment="1">
      <alignment horizontal="center" vertical="center"/>
    </xf>
    <xf numFmtId="0" fontId="0" fillId="19" borderId="12" xfId="0" applyFill="1" applyBorder="1"/>
    <xf numFmtId="0" fontId="24" fillId="19" borderId="12" xfId="0" applyFont="1" applyFill="1" applyBorder="1" applyAlignment="1">
      <alignment horizontal="center" vertical="center"/>
    </xf>
    <xf numFmtId="0" fontId="0" fillId="20" borderId="12" xfId="0" applyFill="1" applyBorder="1"/>
    <xf numFmtId="0" fontId="24" fillId="20" borderId="12" xfId="0" applyFont="1" applyFill="1" applyBorder="1" applyAlignment="1">
      <alignment horizontal="center" vertical="center"/>
    </xf>
    <xf numFmtId="0" fontId="10" fillId="3" borderId="11" xfId="0" applyFont="1" applyFill="1" applyBorder="1" applyAlignment="1">
      <alignment horizontal="left" vertical="center"/>
    </xf>
    <xf numFmtId="0" fontId="25" fillId="3" borderId="0" xfId="0" applyFont="1" applyFill="1" applyAlignment="1">
      <alignment horizontal="left" vertical="center"/>
    </xf>
    <xf numFmtId="0" fontId="8" fillId="0" borderId="0" xfId="0" applyFont="1" applyAlignment="1"/>
    <xf numFmtId="0" fontId="9" fillId="0" borderId="0" xfId="0" applyFont="1" applyAlignment="1"/>
    <xf numFmtId="0" fontId="0" fillId="0" borderId="11" xfId="0" applyBorder="1" applyAlignment="1"/>
    <xf numFmtId="0" fontId="18" fillId="21" borderId="12" xfId="0" applyFont="1" applyFill="1" applyBorder="1" applyAlignment="1">
      <alignment horizontal="center" vertical="center"/>
    </xf>
    <xf numFmtId="0" fontId="18" fillId="21" borderId="12" xfId="0" applyFont="1" applyFill="1" applyBorder="1" applyAlignment="1">
      <alignment horizontal="left" vertical="center"/>
    </xf>
    <xf numFmtId="0" fontId="11" fillId="18" borderId="12" xfId="0" applyFont="1" applyFill="1" applyBorder="1" applyAlignment="1">
      <alignment horizontal="center" vertical="center"/>
    </xf>
    <xf numFmtId="0" fontId="0" fillId="18" borderId="12" xfId="0" applyFill="1" applyBorder="1" applyAlignment="1">
      <alignment horizontal="left" vertical="center"/>
    </xf>
    <xf numFmtId="0" fontId="9" fillId="18" borderId="12" xfId="0" applyFont="1" applyFill="1" applyBorder="1" applyAlignment="1">
      <alignment horizontal="left" vertical="center"/>
    </xf>
    <xf numFmtId="0" fontId="9" fillId="18" borderId="12" xfId="0" applyFont="1" applyFill="1" applyBorder="1" applyAlignment="1">
      <alignment horizontal="center" vertical="center"/>
    </xf>
    <xf numFmtId="0" fontId="11" fillId="19" borderId="12" xfId="0" applyFont="1" applyFill="1" applyBorder="1" applyAlignment="1">
      <alignment horizontal="center" vertical="center"/>
    </xf>
    <xf numFmtId="0" fontId="0" fillId="19" borderId="12" xfId="0" applyFill="1" applyBorder="1" applyAlignment="1">
      <alignment horizontal="left" vertical="center"/>
    </xf>
    <xf numFmtId="0" fontId="9" fillId="19" borderId="12" xfId="0" applyFont="1" applyFill="1" applyBorder="1" applyAlignment="1">
      <alignment horizontal="left" vertical="center"/>
    </xf>
    <xf numFmtId="0" fontId="9" fillId="19" borderId="12" xfId="0" applyFont="1" applyFill="1" applyBorder="1" applyAlignment="1">
      <alignment horizontal="center" vertical="center"/>
    </xf>
    <xf numFmtId="0" fontId="11" fillId="20" borderId="12" xfId="0" applyFont="1" applyFill="1" applyBorder="1" applyAlignment="1">
      <alignment horizontal="center" vertical="center"/>
    </xf>
    <xf numFmtId="0" fontId="0" fillId="20" borderId="12" xfId="0" applyFill="1" applyBorder="1" applyAlignment="1">
      <alignment horizontal="left" vertical="center"/>
    </xf>
    <xf numFmtId="0" fontId="9" fillId="20" borderId="12" xfId="0" applyFont="1" applyFill="1" applyBorder="1" applyAlignment="1">
      <alignment horizontal="left" vertical="center"/>
    </xf>
    <xf numFmtId="0" fontId="9" fillId="20" borderId="12" xfId="0" applyFont="1" applyFill="1" applyBorder="1" applyAlignment="1">
      <alignment horizontal="center" vertical="center"/>
    </xf>
    <xf numFmtId="0" fontId="11" fillId="16" borderId="12" xfId="0" applyFont="1" applyFill="1" applyBorder="1" applyAlignment="1">
      <alignment horizontal="center" vertical="center"/>
    </xf>
    <xf numFmtId="0" fontId="0" fillId="16" borderId="12" xfId="0" applyFill="1" applyBorder="1" applyAlignment="1">
      <alignment horizontal="left" vertical="center"/>
    </xf>
    <xf numFmtId="0" fontId="9" fillId="16" borderId="12" xfId="0" applyFont="1" applyFill="1" applyBorder="1" applyAlignment="1">
      <alignment horizontal="left" vertical="center"/>
    </xf>
    <xf numFmtId="0" fontId="9" fillId="16" borderId="12" xfId="0" applyFont="1" applyFill="1" applyBorder="1" applyAlignment="1">
      <alignment horizontal="center" vertical="center"/>
    </xf>
    <xf numFmtId="0" fontId="13" fillId="0" borderId="0" xfId="0" applyFont="1" applyAlignment="1"/>
    <xf numFmtId="0" fontId="22" fillId="21" borderId="12" xfId="0" applyFont="1" applyFill="1" applyBorder="1" applyAlignment="1">
      <alignment horizontal="center" vertical="center"/>
    </xf>
    <xf numFmtId="0" fontId="22" fillId="21" borderId="12" xfId="0" applyFont="1" applyFill="1" applyBorder="1" applyAlignment="1">
      <alignment horizontal="left" vertical="center"/>
    </xf>
    <xf numFmtId="0" fontId="13" fillId="18" borderId="12" xfId="0" applyFont="1" applyFill="1" applyBorder="1" applyAlignment="1">
      <alignment horizontal="center" vertical="center"/>
    </xf>
    <xf numFmtId="0" fontId="21" fillId="18" borderId="12" xfId="0" applyFont="1" applyFill="1" applyBorder="1" applyAlignment="1">
      <alignment horizontal="left" vertical="center"/>
    </xf>
    <xf numFmtId="0" fontId="13" fillId="18" borderId="12" xfId="0" applyFont="1" applyFill="1" applyBorder="1" applyAlignment="1">
      <alignment horizontal="left" vertical="center" wrapText="1"/>
    </xf>
    <xf numFmtId="0" fontId="13" fillId="19" borderId="12" xfId="0" applyFont="1" applyFill="1" applyBorder="1" applyAlignment="1">
      <alignment horizontal="center" vertical="center"/>
    </xf>
    <xf numFmtId="0" fontId="21" fillId="19" borderId="12" xfId="0" applyFont="1" applyFill="1" applyBorder="1" applyAlignment="1">
      <alignment horizontal="left" vertical="center"/>
    </xf>
    <xf numFmtId="0" fontId="13" fillId="19" borderId="12" xfId="0" applyFont="1" applyFill="1" applyBorder="1" applyAlignment="1">
      <alignment horizontal="left" vertical="center" wrapText="1"/>
    </xf>
    <xf numFmtId="0" fontId="13" fillId="20" borderId="12" xfId="0" applyFont="1" applyFill="1" applyBorder="1" applyAlignment="1">
      <alignment horizontal="center" vertical="center"/>
    </xf>
    <xf numFmtId="0" fontId="21" fillId="20" borderId="12" xfId="0" applyFont="1" applyFill="1" applyBorder="1" applyAlignment="1">
      <alignment horizontal="left" vertical="center"/>
    </xf>
    <xf numFmtId="0" fontId="13" fillId="20" borderId="12" xfId="0" applyFont="1" applyFill="1" applyBorder="1" applyAlignment="1">
      <alignment horizontal="left" vertical="center" wrapText="1"/>
    </xf>
    <xf numFmtId="0" fontId="13" fillId="16" borderId="12" xfId="0" applyFont="1" applyFill="1" applyBorder="1" applyAlignment="1">
      <alignment horizontal="center" vertical="center"/>
    </xf>
    <xf numFmtId="0" fontId="21" fillId="16" borderId="12" xfId="0" applyFont="1" applyFill="1" applyBorder="1" applyAlignment="1">
      <alignment horizontal="left" vertical="center"/>
    </xf>
    <xf numFmtId="0" fontId="13" fillId="16" borderId="12" xfId="0" applyFont="1" applyFill="1" applyBorder="1" applyAlignment="1">
      <alignment horizontal="left" vertical="center" wrapText="1"/>
    </xf>
    <xf numFmtId="0" fontId="22" fillId="21" borderId="0" xfId="0" applyFont="1" applyFill="1" applyAlignment="1">
      <alignment horizontal="left" vertical="center"/>
    </xf>
    <xf numFmtId="0" fontId="22" fillId="21" borderId="0" xfId="0" applyFont="1" applyFill="1" applyAlignment="1">
      <alignment horizontal="center" vertical="center"/>
    </xf>
    <xf numFmtId="0" fontId="23" fillId="0" borderId="12" xfId="0" applyFont="1" applyBorder="1" applyAlignment="1">
      <alignment horizontal="left" vertical="center"/>
    </xf>
    <xf numFmtId="0" fontId="21" fillId="0" borderId="12" xfId="0" applyFont="1" applyBorder="1" applyAlignment="1">
      <alignment horizontal="center" vertical="center"/>
    </xf>
    <xf numFmtId="0" fontId="13" fillId="0" borderId="12" xfId="0" applyFont="1" applyBorder="1" applyAlignment="1">
      <alignment horizontal="center" vertical="center"/>
    </xf>
    <xf numFmtId="0" fontId="13" fillId="6" borderId="12" xfId="0" applyFont="1" applyFill="1" applyBorder="1" applyAlignment="1">
      <alignment horizontal="center" vertical="center" wrapText="1"/>
    </xf>
    <xf numFmtId="0" fontId="13" fillId="4" borderId="12" xfId="0" applyFont="1" applyFill="1" applyBorder="1" applyAlignment="1">
      <alignment horizontal="center" vertical="center"/>
    </xf>
    <xf numFmtId="0" fontId="13" fillId="0" borderId="12" xfId="0" applyFont="1" applyBorder="1" applyAlignment="1">
      <alignment horizontal="left" vertical="center" wrapText="1"/>
    </xf>
    <xf numFmtId="0" fontId="13" fillId="5" borderId="12"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9" fillId="21" borderId="12" xfId="0" applyFont="1" applyFill="1" applyBorder="1" applyAlignment="1">
      <alignment horizontal="center" wrapText="1"/>
    </xf>
    <xf numFmtId="0" fontId="0" fillId="18" borderId="12" xfId="0" applyFill="1" applyBorder="1" applyAlignment="1">
      <alignment vertical="center" wrapText="1"/>
    </xf>
    <xf numFmtId="0" fontId="0" fillId="18" borderId="12" xfId="0" applyFill="1" applyBorder="1" applyAlignment="1">
      <alignment horizontal="center"/>
    </xf>
    <xf numFmtId="0" fontId="0" fillId="12" borderId="12" xfId="0" applyFill="1" applyBorder="1" applyAlignment="1">
      <alignment horizontal="center" vertical="center" wrapText="1"/>
    </xf>
    <xf numFmtId="0" fontId="0" fillId="13" borderId="12" xfId="0" applyFill="1" applyBorder="1" applyAlignment="1">
      <alignment horizontal="center" vertical="center" wrapText="1"/>
    </xf>
    <xf numFmtId="0" fontId="0" fillId="14" borderId="12" xfId="0" applyFill="1" applyBorder="1" applyAlignment="1">
      <alignment horizontal="center" vertical="center" wrapText="1"/>
    </xf>
    <xf numFmtId="0" fontId="0" fillId="19" borderId="12" xfId="0" applyFill="1" applyBorder="1" applyAlignment="1">
      <alignment vertical="center" wrapText="1"/>
    </xf>
    <xf numFmtId="0" fontId="0" fillId="19" borderId="12" xfId="0" applyFill="1" applyBorder="1" applyAlignment="1">
      <alignment horizontal="center"/>
    </xf>
    <xf numFmtId="0" fontId="0" fillId="19" borderId="12" xfId="0" applyFill="1" applyBorder="1" applyAlignment="1">
      <alignment horizontal="center" vertical="center" wrapText="1"/>
    </xf>
    <xf numFmtId="0" fontId="0" fillId="15" borderId="12" xfId="0" applyFill="1" applyBorder="1" applyAlignment="1">
      <alignment horizontal="center" vertical="center" wrapText="1"/>
    </xf>
    <xf numFmtId="0" fontId="0" fillId="20" borderId="12" xfId="0" applyFill="1" applyBorder="1" applyAlignment="1">
      <alignment vertical="center" wrapText="1"/>
    </xf>
    <xf numFmtId="0" fontId="0" fillId="20" borderId="12" xfId="0" applyFill="1" applyBorder="1" applyAlignment="1">
      <alignment horizontal="center"/>
    </xf>
    <xf numFmtId="0" fontId="0" fillId="20" borderId="12" xfId="0" applyFill="1" applyBorder="1" applyAlignment="1">
      <alignment horizontal="center" vertical="center" wrapText="1"/>
    </xf>
    <xf numFmtId="0" fontId="0" fillId="18" borderId="12" xfId="0" applyFill="1" applyBorder="1" applyAlignment="1">
      <alignment horizontal="center" vertical="center" wrapText="1"/>
    </xf>
    <xf numFmtId="0" fontId="20" fillId="0" borderId="0" xfId="0" applyFont="1" applyAlignment="1"/>
    <xf numFmtId="0" fontId="7" fillId="0" borderId="0" xfId="0" applyFont="1" applyAlignment="1"/>
    <xf numFmtId="0" fontId="22" fillId="7" borderId="12" xfId="0" applyFont="1" applyFill="1" applyBorder="1" applyAlignment="1">
      <alignment horizontal="center" vertical="center" wrapText="1"/>
    </xf>
    <xf numFmtId="0" fontId="21" fillId="8" borderId="12" xfId="0" applyFont="1" applyFill="1" applyBorder="1" applyAlignment="1">
      <alignment vertical="center"/>
    </xf>
    <xf numFmtId="0" fontId="20" fillId="8" borderId="12" xfId="0" applyFont="1" applyFill="1" applyBorder="1" applyAlignment="1">
      <alignment horizontal="center" vertical="center"/>
    </xf>
    <xf numFmtId="0" fontId="21" fillId="8" borderId="12" xfId="0" applyFont="1" applyFill="1" applyBorder="1" applyAlignment="1">
      <alignment vertical="center" wrapText="1"/>
    </xf>
    <xf numFmtId="0" fontId="21" fillId="9" borderId="12" xfId="0" applyFont="1" applyFill="1" applyBorder="1" applyAlignment="1">
      <alignment vertical="center"/>
    </xf>
    <xf numFmtId="0" fontId="20" fillId="9" borderId="12" xfId="0" applyFont="1" applyFill="1" applyBorder="1" applyAlignment="1">
      <alignment horizontal="center" vertical="center"/>
    </xf>
    <xf numFmtId="0" fontId="21" fillId="9" borderId="12" xfId="0" applyFont="1" applyFill="1" applyBorder="1" applyAlignment="1">
      <alignment vertical="center" wrapText="1"/>
    </xf>
    <xf numFmtId="0" fontId="21" fillId="11" borderId="12" xfId="0" applyFont="1" applyFill="1" applyBorder="1" applyAlignment="1">
      <alignment vertical="center"/>
    </xf>
    <xf numFmtId="0" fontId="20" fillId="11" borderId="12" xfId="0" applyFont="1" applyFill="1" applyBorder="1" applyAlignment="1">
      <alignment horizontal="center" vertical="center"/>
    </xf>
    <xf numFmtId="0" fontId="21" fillId="11" borderId="12" xfId="0" applyFont="1" applyFill="1" applyBorder="1" applyAlignment="1">
      <alignment vertical="center" wrapText="1"/>
    </xf>
    <xf numFmtId="0" fontId="21" fillId="10" borderId="12" xfId="0" applyFont="1" applyFill="1" applyBorder="1" applyAlignment="1">
      <alignment vertical="center"/>
    </xf>
    <xf numFmtId="0" fontId="20" fillId="10" borderId="12" xfId="0" applyFont="1" applyFill="1" applyBorder="1" applyAlignment="1">
      <alignment horizontal="center" vertical="center"/>
    </xf>
    <xf numFmtId="0" fontId="21" fillId="10" borderId="12" xfId="0" applyFont="1" applyFill="1" applyBorder="1" applyAlignment="1">
      <alignment vertical="center" wrapText="1"/>
    </xf>
    <xf numFmtId="0" fontId="6" fillId="0" borderId="0" xfId="0" applyFont="1" applyAlignment="1"/>
    <xf numFmtId="0" fontId="7" fillId="8" borderId="12" xfId="0" applyFont="1" applyFill="1" applyBorder="1"/>
    <xf numFmtId="0" fontId="7" fillId="9" borderId="12" xfId="0" applyFont="1" applyFill="1" applyBorder="1"/>
    <xf numFmtId="0" fontId="7" fillId="11" borderId="12" xfId="0" applyFont="1" applyFill="1" applyBorder="1"/>
    <xf numFmtId="0" fontId="7" fillId="10" borderId="12" xfId="0" applyFont="1" applyFill="1" applyBorder="1"/>
    <xf numFmtId="0" fontId="12" fillId="0" borderId="0" xfId="0" applyFont="1" applyAlignment="1"/>
    <xf numFmtId="0" fontId="0" fillId="0" borderId="0" xfId="0" applyAlignment="1"/>
    <xf numFmtId="0" fontId="15" fillId="7" borderId="12" xfId="0" applyFont="1" applyFill="1" applyBorder="1" applyAlignment="1">
      <alignment horizontal="center" vertical="center" wrapText="1"/>
    </xf>
    <xf numFmtId="0" fontId="13" fillId="8" borderId="12" xfId="0" applyFont="1" applyFill="1" applyBorder="1" applyAlignment="1">
      <alignment vertical="center"/>
    </xf>
    <xf numFmtId="0" fontId="12" fillId="8" borderId="12" xfId="0" applyFont="1" applyFill="1" applyBorder="1" applyAlignment="1">
      <alignment horizontal="center" vertical="center"/>
    </xf>
    <xf numFmtId="0" fontId="16" fillId="8" borderId="12" xfId="0" applyFont="1" applyFill="1" applyBorder="1" applyAlignment="1">
      <alignment vertical="center" wrapText="1"/>
    </xf>
    <xf numFmtId="0" fontId="13" fillId="8" borderId="12" xfId="0" applyFont="1" applyFill="1" applyBorder="1" applyAlignment="1">
      <alignment vertical="center" wrapText="1"/>
    </xf>
    <xf numFmtId="0" fontId="17" fillId="8" borderId="12" xfId="0" applyFont="1" applyFill="1" applyBorder="1" applyAlignment="1">
      <alignment vertical="center" wrapText="1"/>
    </xf>
    <xf numFmtId="0" fontId="13" fillId="9" borderId="12" xfId="0" applyFont="1" applyFill="1" applyBorder="1" applyAlignment="1">
      <alignment vertical="center"/>
    </xf>
    <xf numFmtId="0" fontId="12" fillId="9" borderId="12" xfId="0" applyFont="1" applyFill="1" applyBorder="1" applyAlignment="1">
      <alignment horizontal="center" vertical="center"/>
    </xf>
    <xf numFmtId="0" fontId="13" fillId="9" borderId="12" xfId="0" applyFont="1" applyFill="1" applyBorder="1" applyAlignment="1">
      <alignment vertical="center" wrapText="1"/>
    </xf>
    <xf numFmtId="0" fontId="17" fillId="9" borderId="12" xfId="0" applyFont="1" applyFill="1" applyBorder="1" applyAlignment="1">
      <alignment vertical="center" wrapText="1"/>
    </xf>
    <xf numFmtId="0" fontId="13" fillId="11" borderId="12" xfId="0" applyFont="1" applyFill="1" applyBorder="1" applyAlignment="1">
      <alignment vertical="center"/>
    </xf>
    <xf numFmtId="0" fontId="12" fillId="11" borderId="12" xfId="0" applyFont="1" applyFill="1" applyBorder="1" applyAlignment="1">
      <alignment horizontal="center" vertical="center"/>
    </xf>
    <xf numFmtId="0" fontId="13" fillId="11" borderId="12" xfId="0" applyFont="1" applyFill="1" applyBorder="1" applyAlignment="1">
      <alignment vertical="center" wrapText="1"/>
    </xf>
    <xf numFmtId="0" fontId="17" fillId="11" borderId="12" xfId="0" applyFont="1" applyFill="1" applyBorder="1" applyAlignment="1">
      <alignment vertical="center" wrapText="1"/>
    </xf>
    <xf numFmtId="0" fontId="16" fillId="11" borderId="12" xfId="0" applyFont="1" applyFill="1" applyBorder="1" applyAlignment="1">
      <alignment vertical="center" wrapText="1"/>
    </xf>
    <xf numFmtId="0" fontId="16" fillId="9" borderId="12" xfId="0" applyFont="1" applyFill="1" applyBorder="1" applyAlignment="1">
      <alignment vertical="center" wrapText="1"/>
    </xf>
    <xf numFmtId="0" fontId="13" fillId="10" borderId="12" xfId="0" applyFont="1" applyFill="1" applyBorder="1" applyAlignment="1">
      <alignment vertical="center"/>
    </xf>
    <xf numFmtId="0" fontId="12" fillId="10" borderId="12" xfId="0" applyFont="1" applyFill="1" applyBorder="1" applyAlignment="1">
      <alignment horizontal="center" vertical="center"/>
    </xf>
    <xf numFmtId="0" fontId="13" fillId="10" borderId="12" xfId="0" applyFont="1" applyFill="1" applyBorder="1" applyAlignment="1">
      <alignment vertical="center" wrapText="1"/>
    </xf>
    <xf numFmtId="0" fontId="17" fillId="10" borderId="12" xfId="0" applyFont="1" applyFill="1" applyBorder="1" applyAlignment="1">
      <alignment vertical="center" wrapText="1"/>
    </xf>
    <xf numFmtId="0" fontId="19" fillId="0" borderId="0" xfId="0" applyFont="1" applyAlignment="1"/>
    <xf numFmtId="0" fontId="0" fillId="18" borderId="12" xfId="0" applyFill="1" applyBorder="1" applyAlignment="1">
      <alignment vertical="center"/>
    </xf>
    <xf numFmtId="0" fontId="0" fillId="18" borderId="12" xfId="0" applyFill="1" applyBorder="1" applyAlignment="1">
      <alignment horizontal="center" vertical="center"/>
    </xf>
    <xf numFmtId="0" fontId="0" fillId="19" borderId="12" xfId="0" applyFill="1" applyBorder="1" applyAlignment="1">
      <alignment vertical="center"/>
    </xf>
    <xf numFmtId="0" fontId="0" fillId="19" borderId="12" xfId="0" applyFill="1" applyBorder="1" applyAlignment="1">
      <alignment horizontal="center" vertical="center"/>
    </xf>
    <xf numFmtId="0" fontId="0" fillId="20" borderId="12" xfId="0" applyFill="1" applyBorder="1" applyAlignment="1">
      <alignment vertical="center"/>
    </xf>
    <xf numFmtId="0" fontId="0" fillId="20" borderId="12" xfId="0"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D3"/>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s://engjira.int.kronos.com/browse/PS-721596" TargetMode="External"/><Relationship Id="rId2" Type="http://schemas.openxmlformats.org/officeDocument/2006/relationships/hyperlink" Target="https://engjira.int.kronos.com/browse/PS-721616" TargetMode="External"/><Relationship Id="rId1" Type="http://schemas.openxmlformats.org/officeDocument/2006/relationships/hyperlink" Target="https://engjira.int.kronos.com/browse/PS-721616" TargetMode="External"/><Relationship Id="rId4" Type="http://schemas.openxmlformats.org/officeDocument/2006/relationships/hyperlink" Target="https://engjira.int.kronos.com/browse/PS-7216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12" workbookViewId="0">
      <selection activeCell="D19" sqref="D19:D24"/>
    </sheetView>
  </sheetViews>
  <sheetFormatPr defaultColWidth="55" defaultRowHeight="18.75" customHeight="1"/>
  <cols>
    <col min="1" max="1" width="30" style="36" customWidth="1"/>
    <col min="2" max="2" width="52" style="36" customWidth="1"/>
    <col min="3" max="3" width="20" style="36" customWidth="1"/>
    <col min="4" max="4" width="16" style="36" bestFit="1" customWidth="1"/>
    <col min="5" max="5" width="16" style="36" customWidth="1"/>
    <col min="6" max="10" width="55" style="36" customWidth="1"/>
    <col min="11" max="16384" width="55" style="36"/>
  </cols>
  <sheetData>
    <row r="1" spans="1:6" ht="20.100000000000001" customHeight="1">
      <c r="A1" s="54" t="s">
        <v>0</v>
      </c>
      <c r="B1" s="55"/>
      <c r="C1" s="55"/>
      <c r="D1" s="55"/>
      <c r="E1" s="55"/>
    </row>
    <row r="2" spans="1:6" ht="20.100000000000001" customHeight="1"/>
    <row r="3" spans="1:6" ht="20.100000000000001" customHeight="1">
      <c r="A3" s="52" t="s">
        <v>1</v>
      </c>
      <c r="B3" s="55"/>
      <c r="C3" s="55"/>
      <c r="D3" s="56"/>
    </row>
    <row r="4" spans="1:6" ht="20.100000000000001" customHeight="1">
      <c r="A4" s="57" t="s">
        <v>2</v>
      </c>
      <c r="B4" s="58" t="s">
        <v>3</v>
      </c>
      <c r="C4" s="58" t="s">
        <v>4</v>
      </c>
      <c r="D4" s="57" t="s">
        <v>5</v>
      </c>
      <c r="E4" s="30"/>
      <c r="F4" s="25"/>
    </row>
    <row r="5" spans="1:6" ht="20.100000000000001" customHeight="1">
      <c r="A5" s="59" t="s">
        <v>6</v>
      </c>
      <c r="B5" s="60" t="s">
        <v>7</v>
      </c>
      <c r="C5" s="61" t="s">
        <v>8</v>
      </c>
      <c r="D5" s="62" t="s">
        <v>9</v>
      </c>
      <c r="E5" s="29"/>
      <c r="F5" s="26"/>
    </row>
    <row r="6" spans="1:6" ht="20.100000000000001" customHeight="1">
      <c r="A6" s="63" t="s">
        <v>10</v>
      </c>
      <c r="B6" s="64" t="s">
        <v>11</v>
      </c>
      <c r="C6" s="65" t="s">
        <v>12</v>
      </c>
      <c r="D6" s="66" t="s">
        <v>13</v>
      </c>
      <c r="E6" s="29"/>
      <c r="F6" s="26"/>
    </row>
    <row r="7" spans="1:6" ht="20.100000000000001" customHeight="1">
      <c r="A7" s="67" t="s">
        <v>14</v>
      </c>
      <c r="B7" s="68" t="s">
        <v>15</v>
      </c>
      <c r="C7" s="69" t="s">
        <v>16</v>
      </c>
      <c r="D7" s="70" t="s">
        <v>17</v>
      </c>
      <c r="E7" s="29"/>
      <c r="F7" s="26"/>
    </row>
    <row r="8" spans="1:6" ht="20.100000000000001" customHeight="1">
      <c r="A8" s="71" t="s">
        <v>18</v>
      </c>
      <c r="B8" s="72" t="s">
        <v>19</v>
      </c>
      <c r="C8" s="73" t="s">
        <v>20</v>
      </c>
      <c r="D8" s="74" t="s">
        <v>21</v>
      </c>
      <c r="E8" s="29"/>
      <c r="F8" s="26"/>
    </row>
    <row r="9" spans="1:6" ht="20.100000000000001" customHeight="1"/>
    <row r="10" spans="1:6" ht="20.100000000000001" customHeight="1">
      <c r="A10" s="53" t="s">
        <v>22</v>
      </c>
      <c r="B10" s="75"/>
      <c r="C10" s="75"/>
      <c r="D10" s="75"/>
      <c r="E10" s="28"/>
    </row>
    <row r="11" spans="1:6" ht="20.100000000000001" customHeight="1">
      <c r="A11" s="76" t="s">
        <v>2</v>
      </c>
      <c r="B11" s="77" t="s">
        <v>23</v>
      </c>
      <c r="C11" s="77" t="s">
        <v>24</v>
      </c>
      <c r="D11" s="76" t="s">
        <v>5</v>
      </c>
      <c r="E11" s="31"/>
    </row>
    <row r="12" spans="1:6" ht="40.5">
      <c r="A12" s="78" t="s">
        <v>6</v>
      </c>
      <c r="B12" s="79" t="s">
        <v>25</v>
      </c>
      <c r="C12" s="80" t="s">
        <v>26</v>
      </c>
      <c r="D12" s="78" t="s">
        <v>9</v>
      </c>
      <c r="E12" s="32"/>
    </row>
    <row r="13" spans="1:6" ht="53.25">
      <c r="A13" s="81" t="s">
        <v>10</v>
      </c>
      <c r="B13" s="82" t="s">
        <v>27</v>
      </c>
      <c r="C13" s="83" t="s">
        <v>28</v>
      </c>
      <c r="D13" s="81" t="s">
        <v>13</v>
      </c>
      <c r="E13" s="32"/>
    </row>
    <row r="14" spans="1:6" ht="53.25">
      <c r="A14" s="84" t="s">
        <v>14</v>
      </c>
      <c r="B14" s="85" t="s">
        <v>29</v>
      </c>
      <c r="C14" s="86" t="s">
        <v>30</v>
      </c>
      <c r="D14" s="84" t="s">
        <v>17</v>
      </c>
      <c r="E14" s="32"/>
    </row>
    <row r="15" spans="1:6" ht="20.100000000000001" customHeight="1">
      <c r="A15" s="87" t="s">
        <v>18</v>
      </c>
      <c r="B15" s="88" t="s">
        <v>31</v>
      </c>
      <c r="C15" s="89" t="s">
        <v>31</v>
      </c>
      <c r="D15" s="87" t="s">
        <v>21</v>
      </c>
      <c r="E15" s="32"/>
    </row>
    <row r="16" spans="1:6" ht="20.100000000000001" customHeight="1"/>
    <row r="17" spans="1:6" ht="20.100000000000001" customHeight="1">
      <c r="A17" s="90" t="s">
        <v>32</v>
      </c>
      <c r="B17" s="55"/>
      <c r="C17" s="55"/>
      <c r="D17" s="55"/>
      <c r="E17" s="55"/>
      <c r="F17" s="91"/>
    </row>
    <row r="18" spans="1:6" ht="20.100000000000001" customHeight="1">
      <c r="A18" s="76" t="s">
        <v>33</v>
      </c>
      <c r="B18" s="76" t="s">
        <v>34</v>
      </c>
      <c r="C18" s="76" t="s">
        <v>35</v>
      </c>
      <c r="D18" s="76" t="s">
        <v>36</v>
      </c>
      <c r="E18" s="76" t="s">
        <v>37</v>
      </c>
      <c r="F18" s="76" t="s">
        <v>38</v>
      </c>
    </row>
    <row r="19" spans="1:6" ht="20.100000000000001" customHeight="1">
      <c r="A19" s="92" t="s">
        <v>39</v>
      </c>
      <c r="B19" s="93" t="s">
        <v>40</v>
      </c>
      <c r="C19" s="94" t="s">
        <v>41</v>
      </c>
      <c r="D19" s="95" t="s">
        <v>42</v>
      </c>
      <c r="E19" s="96" t="s">
        <v>43</v>
      </c>
      <c r="F19" s="97" t="s">
        <v>44</v>
      </c>
    </row>
    <row r="20" spans="1:6" ht="20.100000000000001" customHeight="1">
      <c r="A20" s="92" t="s">
        <v>45</v>
      </c>
      <c r="B20" s="93" t="s">
        <v>46</v>
      </c>
      <c r="C20" s="94" t="s">
        <v>41</v>
      </c>
      <c r="D20" s="95" t="s">
        <v>42</v>
      </c>
      <c r="E20" s="96" t="s">
        <v>43</v>
      </c>
      <c r="F20" s="97" t="s">
        <v>44</v>
      </c>
    </row>
    <row r="21" spans="1:6" ht="26.25" customHeight="1">
      <c r="A21" s="92" t="s">
        <v>47</v>
      </c>
      <c r="B21" s="93" t="s">
        <v>48</v>
      </c>
      <c r="C21" s="94" t="s">
        <v>49</v>
      </c>
      <c r="D21" s="98" t="s">
        <v>50</v>
      </c>
      <c r="E21" s="96" t="s">
        <v>43</v>
      </c>
      <c r="F21" s="97" t="s">
        <v>51</v>
      </c>
    </row>
    <row r="22" spans="1:6" ht="20.100000000000001" customHeight="1">
      <c r="A22" s="92" t="s">
        <v>52</v>
      </c>
      <c r="B22" s="93" t="s">
        <v>53</v>
      </c>
      <c r="C22" s="94" t="s">
        <v>41</v>
      </c>
      <c r="D22" s="95" t="s">
        <v>42</v>
      </c>
      <c r="E22" s="96" t="s">
        <v>43</v>
      </c>
      <c r="F22" s="97" t="s">
        <v>54</v>
      </c>
    </row>
    <row r="23" spans="1:6" ht="15.75" customHeight="1">
      <c r="A23" s="92" t="s">
        <v>55</v>
      </c>
      <c r="B23" s="93" t="s">
        <v>56</v>
      </c>
      <c r="C23" s="94" t="s">
        <v>49</v>
      </c>
      <c r="D23" s="99" t="s">
        <v>57</v>
      </c>
      <c r="E23" s="96" t="s">
        <v>57</v>
      </c>
      <c r="F23" s="97" t="s">
        <v>58</v>
      </c>
    </row>
    <row r="24" spans="1:6" ht="39" customHeight="1">
      <c r="A24" s="92" t="s">
        <v>59</v>
      </c>
      <c r="B24" s="93" t="s">
        <v>60</v>
      </c>
      <c r="C24" s="94" t="s">
        <v>41</v>
      </c>
      <c r="D24" s="98" t="s">
        <v>61</v>
      </c>
      <c r="E24" s="96" t="s">
        <v>43</v>
      </c>
      <c r="F24" s="97" t="s">
        <v>62</v>
      </c>
    </row>
    <row r="25" spans="1:6" ht="20.100000000000001" customHeight="1"/>
    <row r="26" spans="1:6" ht="20.100000000000001" customHeight="1"/>
    <row r="27" spans="1:6" ht="20.100000000000001" customHeight="1"/>
    <row r="28" spans="1:6" ht="20.100000000000001" customHeight="1"/>
    <row r="29" spans="1:6" ht="20.100000000000001" customHeight="1"/>
  </sheetData>
  <mergeCells count="4">
    <mergeCell ref="A10:D10"/>
    <mergeCell ref="A1:E1"/>
    <mergeCell ref="A3:D3"/>
    <mergeCell ref="A17:E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
  <sheetViews>
    <sheetView topLeftCell="C1" workbookViewId="0">
      <selection activeCell="B1" sqref="B1"/>
    </sheetView>
  </sheetViews>
  <sheetFormatPr defaultRowHeight="15"/>
  <cols>
    <col min="1" max="1" width="55" style="41" customWidth="1"/>
    <col min="2" max="2" width="10" style="41" customWidth="1"/>
    <col min="3" max="3" width="65" style="41" customWidth="1"/>
    <col min="4" max="9" width="14" style="41" customWidth="1"/>
    <col min="10" max="10" width="10" style="41" customWidth="1"/>
  </cols>
  <sheetData>
    <row r="1" spans="1:10" ht="21.95" customHeight="1">
      <c r="A1" s="100" t="s">
        <v>63</v>
      </c>
      <c r="B1" s="100" t="s">
        <v>2</v>
      </c>
      <c r="C1" s="100" t="s">
        <v>64</v>
      </c>
      <c r="D1" s="100" t="s">
        <v>48</v>
      </c>
      <c r="E1" s="100" t="s">
        <v>53</v>
      </c>
      <c r="F1" s="100" t="s">
        <v>40</v>
      </c>
      <c r="G1" s="100" t="s">
        <v>46</v>
      </c>
      <c r="H1" s="100" t="s">
        <v>56</v>
      </c>
      <c r="I1" s="100" t="s">
        <v>60</v>
      </c>
      <c r="J1" s="100" t="s">
        <v>65</v>
      </c>
    </row>
    <row r="2" spans="1:10" ht="43.5" customHeight="1">
      <c r="A2" s="101" t="s">
        <v>66</v>
      </c>
      <c r="B2" s="102" t="s">
        <v>6</v>
      </c>
      <c r="C2" s="101" t="s">
        <v>67</v>
      </c>
      <c r="D2" s="103" t="s">
        <v>68</v>
      </c>
      <c r="E2" s="103" t="s">
        <v>68</v>
      </c>
      <c r="F2" s="104" t="s">
        <v>69</v>
      </c>
      <c r="G2" s="104" t="s">
        <v>69</v>
      </c>
      <c r="H2" s="105" t="s">
        <v>70</v>
      </c>
      <c r="I2" s="104" t="s">
        <v>69</v>
      </c>
      <c r="J2" s="46"/>
    </row>
    <row r="3" spans="1:10" ht="30.75" customHeight="1">
      <c r="A3" s="106" t="s">
        <v>71</v>
      </c>
      <c r="B3" s="107" t="s">
        <v>10</v>
      </c>
      <c r="C3" s="106" t="s">
        <v>72</v>
      </c>
      <c r="D3" s="104" t="s">
        <v>69</v>
      </c>
      <c r="E3" s="104" t="s">
        <v>69</v>
      </c>
      <c r="F3" s="108" t="s">
        <v>73</v>
      </c>
      <c r="G3" s="108" t="s">
        <v>73</v>
      </c>
      <c r="H3" s="105" t="s">
        <v>70</v>
      </c>
      <c r="I3" s="108" t="s">
        <v>73</v>
      </c>
      <c r="J3" s="48"/>
    </row>
    <row r="4" spans="1:10" ht="21.95" customHeight="1">
      <c r="A4" s="106" t="s">
        <v>74</v>
      </c>
      <c r="B4" s="107" t="s">
        <v>10</v>
      </c>
      <c r="C4" s="106" t="s">
        <v>75</v>
      </c>
      <c r="D4" s="109" t="s">
        <v>76</v>
      </c>
      <c r="E4" s="109" t="s">
        <v>76</v>
      </c>
      <c r="F4" s="109" t="s">
        <v>76</v>
      </c>
      <c r="G4" s="109" t="s">
        <v>76</v>
      </c>
      <c r="H4" s="105" t="s">
        <v>70</v>
      </c>
      <c r="I4" s="109" t="s">
        <v>76</v>
      </c>
      <c r="J4" s="48"/>
    </row>
    <row r="5" spans="1:10" ht="21.95" customHeight="1">
      <c r="A5" s="110" t="s">
        <v>77</v>
      </c>
      <c r="B5" s="111" t="s">
        <v>14</v>
      </c>
      <c r="C5" s="110" t="s">
        <v>78</v>
      </c>
      <c r="D5" s="112" t="s">
        <v>73</v>
      </c>
      <c r="E5" s="104" t="s">
        <v>69</v>
      </c>
      <c r="F5" s="112" t="s">
        <v>73</v>
      </c>
      <c r="G5" s="112" t="s">
        <v>73</v>
      </c>
      <c r="H5" s="112" t="s">
        <v>73</v>
      </c>
      <c r="I5" s="112" t="s">
        <v>73</v>
      </c>
      <c r="J5" s="50" t="str">
        <f>HYPERLINK("https://engjira.int.kronos.com/browse/PS-721646", "PS-721646")</f>
        <v>PS-721646</v>
      </c>
    </row>
    <row r="6" spans="1:10" ht="21.95" customHeight="1">
      <c r="A6" s="101" t="s">
        <v>79</v>
      </c>
      <c r="B6" s="102" t="s">
        <v>6</v>
      </c>
      <c r="C6" s="101" t="s">
        <v>80</v>
      </c>
      <c r="D6" s="104" t="s">
        <v>69</v>
      </c>
      <c r="E6" s="103" t="s">
        <v>68</v>
      </c>
      <c r="F6" s="113" t="s">
        <v>73</v>
      </c>
      <c r="G6" s="113" t="s">
        <v>73</v>
      </c>
      <c r="H6" s="105" t="s">
        <v>70</v>
      </c>
      <c r="I6" s="113" t="s">
        <v>73</v>
      </c>
      <c r="J6" s="46"/>
    </row>
    <row r="7" spans="1:10" ht="21.95" customHeight="1">
      <c r="A7" s="101" t="s">
        <v>81</v>
      </c>
      <c r="B7" s="102" t="s">
        <v>6</v>
      </c>
      <c r="C7" s="101" t="s">
        <v>80</v>
      </c>
      <c r="D7" s="113" t="s">
        <v>73</v>
      </c>
      <c r="E7" s="113" t="s">
        <v>73</v>
      </c>
      <c r="F7" s="104" t="s">
        <v>69</v>
      </c>
      <c r="G7" s="104" t="s">
        <v>69</v>
      </c>
      <c r="H7" s="105" t="s">
        <v>70</v>
      </c>
      <c r="I7" s="103" t="s">
        <v>82</v>
      </c>
      <c r="J7" s="46" t="str">
        <f>HYPERLINK("https://engjira.int.kronos.com/browse/PS-721616", "PS-721616")</f>
        <v>PS-721616</v>
      </c>
    </row>
    <row r="8" spans="1:10" ht="21.95" customHeight="1">
      <c r="A8" s="101" t="s">
        <v>83</v>
      </c>
      <c r="B8" s="102" t="s">
        <v>6</v>
      </c>
      <c r="C8" s="101" t="s">
        <v>84</v>
      </c>
      <c r="D8" s="103" t="s">
        <v>85</v>
      </c>
      <c r="E8" s="103" t="s">
        <v>85</v>
      </c>
      <c r="F8" s="103" t="s">
        <v>85</v>
      </c>
      <c r="G8" s="103" t="s">
        <v>85</v>
      </c>
      <c r="H8" s="105" t="s">
        <v>70</v>
      </c>
      <c r="I8" s="105" t="s">
        <v>86</v>
      </c>
      <c r="J8" s="46"/>
    </row>
    <row r="9" spans="1:10" ht="21.95" customHeight="1">
      <c r="A9" s="106" t="s">
        <v>87</v>
      </c>
      <c r="B9" s="107" t="s">
        <v>10</v>
      </c>
      <c r="C9" s="106" t="s">
        <v>75</v>
      </c>
      <c r="D9" s="109" t="s">
        <v>88</v>
      </c>
      <c r="E9" s="109" t="s">
        <v>88</v>
      </c>
      <c r="F9" s="109" t="s">
        <v>88</v>
      </c>
      <c r="G9" s="109" t="s">
        <v>88</v>
      </c>
      <c r="H9" s="105" t="s">
        <v>70</v>
      </c>
      <c r="I9" s="109" t="s">
        <v>88</v>
      </c>
      <c r="J9" s="48" t="str">
        <f>HYPERLINK("https://engjira.int.kronos.com/browse/PS-721596", "PS-721596")</f>
        <v>PS-721596</v>
      </c>
    </row>
    <row r="10" spans="1:10" ht="21.95" customHeight="1">
      <c r="A10" s="101" t="s">
        <v>89</v>
      </c>
      <c r="B10" s="102" t="s">
        <v>6</v>
      </c>
      <c r="C10" s="101" t="s">
        <v>90</v>
      </c>
      <c r="D10" s="113" t="s">
        <v>73</v>
      </c>
      <c r="E10" s="113" t="s">
        <v>73</v>
      </c>
      <c r="F10" s="113" t="s">
        <v>73</v>
      </c>
      <c r="G10" s="113" t="s">
        <v>73</v>
      </c>
      <c r="H10" s="105" t="s">
        <v>91</v>
      </c>
      <c r="I10" s="113" t="s">
        <v>73</v>
      </c>
      <c r="J10" s="46"/>
    </row>
    <row r="11" spans="1:10" ht="30.75" customHeight="1">
      <c r="A11" s="106" t="s">
        <v>92</v>
      </c>
      <c r="B11" s="107" t="s">
        <v>10</v>
      </c>
      <c r="C11" s="106" t="s">
        <v>93</v>
      </c>
      <c r="D11" s="103" t="s">
        <v>94</v>
      </c>
      <c r="E11" s="109" t="s">
        <v>95</v>
      </c>
      <c r="F11" s="104" t="s">
        <v>69</v>
      </c>
      <c r="G11" s="104" t="s">
        <v>69</v>
      </c>
      <c r="H11" s="105" t="s">
        <v>70</v>
      </c>
      <c r="I11" s="105" t="s">
        <v>70</v>
      </c>
      <c r="J11" s="48"/>
    </row>
    <row r="12" spans="1:10" ht="16.5" customHeight="1">
      <c r="A12" s="106" t="s">
        <v>96</v>
      </c>
      <c r="B12" s="107" t="s">
        <v>10</v>
      </c>
      <c r="C12" s="106" t="s">
        <v>97</v>
      </c>
      <c r="D12" s="103" t="s">
        <v>94</v>
      </c>
      <c r="E12" s="109" t="s">
        <v>95</v>
      </c>
      <c r="F12" s="104" t="s">
        <v>69</v>
      </c>
      <c r="G12" s="104" t="s">
        <v>69</v>
      </c>
      <c r="H12" s="105" t="s">
        <v>70</v>
      </c>
      <c r="I12" s="105" t="s">
        <v>70</v>
      </c>
      <c r="J12" s="48"/>
    </row>
    <row r="13" spans="1:10" ht="30.75" customHeight="1">
      <c r="A13" s="106" t="s">
        <v>98</v>
      </c>
      <c r="B13" s="107" t="s">
        <v>10</v>
      </c>
      <c r="C13" s="106" t="s">
        <v>99</v>
      </c>
      <c r="D13" s="104" t="s">
        <v>69</v>
      </c>
      <c r="E13" s="104" t="s">
        <v>69</v>
      </c>
      <c r="F13" s="104" t="s">
        <v>69</v>
      </c>
      <c r="G13" s="104" t="s">
        <v>69</v>
      </c>
      <c r="H13" s="105" t="s">
        <v>70</v>
      </c>
      <c r="I13" s="104" t="s">
        <v>69</v>
      </c>
      <c r="J13" s="48"/>
    </row>
    <row r="14" spans="1:10" ht="21.95" customHeight="1">
      <c r="A14" s="110" t="s">
        <v>100</v>
      </c>
      <c r="B14" s="111" t="s">
        <v>14</v>
      </c>
      <c r="C14" s="110" t="s">
        <v>101</v>
      </c>
      <c r="D14" s="104" t="s">
        <v>69</v>
      </c>
      <c r="E14" s="104" t="s">
        <v>69</v>
      </c>
      <c r="F14" s="104" t="s">
        <v>69</v>
      </c>
      <c r="G14" s="104" t="s">
        <v>69</v>
      </c>
      <c r="H14" s="104" t="s">
        <v>69</v>
      </c>
      <c r="I14" s="104" t="s">
        <v>69</v>
      </c>
      <c r="J14" s="50"/>
    </row>
    <row r="15" spans="1:10" ht="30.75" customHeight="1">
      <c r="A15" s="110" t="s">
        <v>102</v>
      </c>
      <c r="B15" s="111" t="s">
        <v>14</v>
      </c>
      <c r="C15" s="110" t="s">
        <v>103</v>
      </c>
      <c r="D15" s="104" t="s">
        <v>69</v>
      </c>
      <c r="E15" s="104" t="s">
        <v>69</v>
      </c>
      <c r="F15" s="104" t="s">
        <v>69</v>
      </c>
      <c r="G15" s="104" t="s">
        <v>69</v>
      </c>
      <c r="H15" s="105" t="s">
        <v>70</v>
      </c>
      <c r="I15" s="104" t="s">
        <v>69</v>
      </c>
      <c r="J15" s="50"/>
    </row>
    <row r="16" spans="1:10" ht="21.95" customHeight="1">
      <c r="A16" s="101" t="s">
        <v>104</v>
      </c>
      <c r="B16" s="102" t="s">
        <v>6</v>
      </c>
      <c r="C16" s="101" t="s">
        <v>105</v>
      </c>
      <c r="D16" s="104" t="s">
        <v>69</v>
      </c>
      <c r="E16" s="104" t="s">
        <v>69</v>
      </c>
      <c r="F16" s="104" t="s">
        <v>69</v>
      </c>
      <c r="G16" s="104" t="s">
        <v>69</v>
      </c>
      <c r="H16" s="104" t="s">
        <v>69</v>
      </c>
      <c r="I16" s="104" t="s">
        <v>69</v>
      </c>
      <c r="J16" s="46"/>
    </row>
    <row r="17" spans="1:3" ht="21.95" customHeight="1"/>
    <row r="18" spans="1:3" ht="21.95" customHeight="1">
      <c r="A18" s="34"/>
      <c r="B18" s="35"/>
      <c r="C18" s="35"/>
    </row>
    <row r="19" spans="1:3" ht="21.95" customHeight="1">
      <c r="A19" s="35"/>
      <c r="B19" s="35"/>
      <c r="C19" s="35"/>
    </row>
    <row r="20" spans="1:3" ht="21.95" customHeight="1">
      <c r="A20" s="35"/>
      <c r="B20" s="35"/>
      <c r="C20" s="35"/>
    </row>
    <row r="21" spans="1:3" ht="21.95" customHeight="1">
      <c r="A21" s="35"/>
      <c r="B21" s="35"/>
      <c r="C21" s="35"/>
    </row>
    <row r="22" spans="1:3" ht="21.95" customHeight="1">
      <c r="A22" s="35"/>
      <c r="B22" s="35"/>
      <c r="C22" s="35"/>
    </row>
    <row r="23" spans="1:3" ht="21.95" customHeight="1">
      <c r="A23" s="35"/>
      <c r="B23" s="35"/>
      <c r="C23" s="35"/>
    </row>
    <row r="24" spans="1:3" ht="21.95" customHeight="1">
      <c r="A24" s="35"/>
      <c r="B24" s="35"/>
      <c r="C24" s="35"/>
    </row>
    <row r="25" spans="1:3" ht="21.95" customHeight="1">
      <c r="A25" s="34"/>
      <c r="B25" s="35"/>
      <c r="C25" s="35"/>
    </row>
    <row r="26" spans="1:3" ht="21.95" customHeight="1">
      <c r="A26" s="35"/>
      <c r="B26" s="35"/>
      <c r="C26" s="35"/>
    </row>
    <row r="27" spans="1:3" ht="21.95" customHeight="1">
      <c r="A27" s="35"/>
      <c r="B27" s="35"/>
      <c r="C27" s="35"/>
    </row>
    <row r="28" spans="1:3" ht="21.95" customHeight="1">
      <c r="A28" s="35"/>
      <c r="B28" s="35"/>
      <c r="C28" s="35"/>
    </row>
    <row r="29" spans="1:3" ht="21.95" customHeight="1">
      <c r="A29" s="35"/>
      <c r="B29" s="35"/>
      <c r="C29" s="35"/>
    </row>
    <row r="30" spans="1:3" ht="21.95" customHeight="1"/>
    <row r="31" spans="1:3" ht="21.95" customHeight="1"/>
    <row r="32" spans="1:3" ht="21.95" customHeight="1"/>
    <row r="33" ht="21.95" customHeight="1"/>
    <row r="34" ht="21.95" customHeight="1"/>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1"/>
  <sheetViews>
    <sheetView workbookViewId="0">
      <selection activeCell="A3" sqref="A3"/>
    </sheetView>
  </sheetViews>
  <sheetFormatPr defaultColWidth="8.85546875" defaultRowHeight="15"/>
  <cols>
    <col min="1" max="1" width="5" style="41" customWidth="1"/>
    <col min="2" max="2" width="10" style="41" bestFit="1" customWidth="1"/>
    <col min="3" max="3" width="35" style="41" customWidth="1"/>
    <col min="4" max="4" width="45" style="41" bestFit="1" customWidth="1"/>
    <col min="5" max="5" width="120" style="41" customWidth="1"/>
  </cols>
  <sheetData>
    <row r="1" spans="2:6" ht="20.100000000000001" customHeight="1">
      <c r="F1" s="41"/>
    </row>
    <row r="2" spans="2:6" ht="20.100000000000001" customHeight="1">
      <c r="B2" s="1" t="s">
        <v>106</v>
      </c>
      <c r="C2" s="2" t="s">
        <v>107</v>
      </c>
      <c r="D2" s="2" t="s">
        <v>108</v>
      </c>
      <c r="E2" s="3" t="s">
        <v>109</v>
      </c>
      <c r="F2" s="41"/>
    </row>
    <row r="3" spans="2:6" ht="20.100000000000001" customHeight="1">
      <c r="B3" s="4" t="s">
        <v>110</v>
      </c>
      <c r="C3" s="4" t="s">
        <v>111</v>
      </c>
      <c r="D3" s="10" t="s">
        <v>112</v>
      </c>
      <c r="E3" s="8" t="s">
        <v>113</v>
      </c>
      <c r="F3" s="41"/>
    </row>
    <row r="4" spans="2:6" ht="20.100000000000001" customHeight="1">
      <c r="B4" s="4" t="s">
        <v>110</v>
      </c>
      <c r="C4" s="4" t="s">
        <v>111</v>
      </c>
      <c r="D4" s="10" t="s">
        <v>114</v>
      </c>
      <c r="E4" s="8" t="s">
        <v>115</v>
      </c>
      <c r="F4" s="41"/>
    </row>
    <row r="5" spans="2:6" ht="20.100000000000001" customHeight="1">
      <c r="B5" s="4" t="s">
        <v>110</v>
      </c>
      <c r="C5" s="4" t="s">
        <v>111</v>
      </c>
      <c r="D5" s="10" t="s">
        <v>116</v>
      </c>
      <c r="E5" s="8" t="s">
        <v>117</v>
      </c>
      <c r="F5" s="41"/>
    </row>
    <row r="6" spans="2:6" ht="20.100000000000001" customHeight="1">
      <c r="B6" s="4" t="s">
        <v>110</v>
      </c>
      <c r="C6" s="4" t="s">
        <v>111</v>
      </c>
      <c r="D6" s="11" t="s">
        <v>118</v>
      </c>
      <c r="E6" s="8" t="s">
        <v>119</v>
      </c>
      <c r="F6" s="41"/>
    </row>
    <row r="7" spans="2:6" ht="20.100000000000001" customHeight="1">
      <c r="B7" s="4" t="s">
        <v>110</v>
      </c>
      <c r="C7" s="4" t="s">
        <v>111</v>
      </c>
      <c r="D7" s="10" t="s">
        <v>120</v>
      </c>
      <c r="E7" s="8" t="s">
        <v>121</v>
      </c>
      <c r="F7" s="41"/>
    </row>
    <row r="8" spans="2:6" ht="20.100000000000001" customHeight="1">
      <c r="B8" s="4" t="s">
        <v>110</v>
      </c>
      <c r="C8" s="4" t="s">
        <v>111</v>
      </c>
      <c r="D8" s="10" t="s">
        <v>122</v>
      </c>
      <c r="E8" s="8" t="s">
        <v>123</v>
      </c>
      <c r="F8" s="41"/>
    </row>
    <row r="9" spans="2:6" ht="20.100000000000001" customHeight="1">
      <c r="B9" s="12" t="s">
        <v>110</v>
      </c>
      <c r="C9" s="13" t="s">
        <v>111</v>
      </c>
      <c r="D9" s="13" t="s">
        <v>101</v>
      </c>
      <c r="E9" s="14" t="s">
        <v>124</v>
      </c>
      <c r="F9" s="41"/>
    </row>
    <row r="10" spans="2:6" ht="20.100000000000001" customHeight="1">
      <c r="B10" s="12" t="s">
        <v>110</v>
      </c>
      <c r="C10" s="13" t="s">
        <v>111</v>
      </c>
      <c r="D10" s="13" t="s">
        <v>125</v>
      </c>
      <c r="E10" s="14" t="s">
        <v>126</v>
      </c>
      <c r="F10" s="41"/>
    </row>
    <row r="11" spans="2:6" ht="20.100000000000001" customHeight="1">
      <c r="B11" s="12" t="s">
        <v>110</v>
      </c>
      <c r="C11" s="13" t="s">
        <v>111</v>
      </c>
      <c r="D11" s="13" t="s">
        <v>127</v>
      </c>
      <c r="E11" s="14" t="s">
        <v>128</v>
      </c>
      <c r="F11" s="41"/>
    </row>
    <row r="12" spans="2:6" ht="20.100000000000001" customHeight="1">
      <c r="B12" s="12" t="s">
        <v>110</v>
      </c>
      <c r="C12" s="13" t="s">
        <v>111</v>
      </c>
      <c r="D12" s="13" t="s">
        <v>129</v>
      </c>
      <c r="E12" s="14" t="s">
        <v>130</v>
      </c>
      <c r="F12" s="41"/>
    </row>
    <row r="13" spans="2:6" ht="20.100000000000001" customHeight="1">
      <c r="B13" s="4" t="s">
        <v>131</v>
      </c>
      <c r="C13" s="4" t="s">
        <v>132</v>
      </c>
      <c r="D13" s="15" t="s">
        <v>105</v>
      </c>
      <c r="E13" s="16" t="s">
        <v>133</v>
      </c>
      <c r="F13" s="41"/>
    </row>
    <row r="14" spans="2:6" ht="20.100000000000001" customHeight="1">
      <c r="B14" s="4" t="s">
        <v>131</v>
      </c>
      <c r="C14" s="4" t="s">
        <v>132</v>
      </c>
      <c r="D14" s="5" t="s">
        <v>134</v>
      </c>
      <c r="E14" s="8" t="s">
        <v>135</v>
      </c>
      <c r="F14" s="41"/>
    </row>
    <row r="15" spans="2:6" ht="20.100000000000001" customHeight="1">
      <c r="B15" s="4" t="s">
        <v>131</v>
      </c>
      <c r="C15" s="4" t="s">
        <v>132</v>
      </c>
      <c r="D15" s="17" t="s">
        <v>136</v>
      </c>
      <c r="E15" s="8" t="s">
        <v>137</v>
      </c>
      <c r="F15" s="41"/>
    </row>
    <row r="16" spans="2:6" ht="20.100000000000001" customHeight="1">
      <c r="B16" s="4" t="s">
        <v>131</v>
      </c>
      <c r="C16" s="4" t="s">
        <v>132</v>
      </c>
      <c r="D16" s="10" t="s">
        <v>138</v>
      </c>
      <c r="E16" s="8" t="s">
        <v>139</v>
      </c>
      <c r="F16" s="41" t="s">
        <v>140</v>
      </c>
    </row>
    <row r="17" spans="2:6" ht="20.100000000000001" customHeight="1">
      <c r="B17" s="4" t="s">
        <v>131</v>
      </c>
      <c r="C17" s="4" t="s">
        <v>132</v>
      </c>
      <c r="D17" s="10" t="s">
        <v>141</v>
      </c>
      <c r="E17" s="8" t="s">
        <v>142</v>
      </c>
      <c r="F17" s="41"/>
    </row>
    <row r="18" spans="2:6" ht="20.100000000000001" customHeight="1">
      <c r="B18" s="4" t="s">
        <v>131</v>
      </c>
      <c r="C18" s="4" t="s">
        <v>132</v>
      </c>
      <c r="D18" s="10" t="s">
        <v>143</v>
      </c>
      <c r="E18" s="8" t="s">
        <v>144</v>
      </c>
      <c r="F18" s="41"/>
    </row>
    <row r="19" spans="2:6" ht="20.100000000000001" customHeight="1">
      <c r="B19" s="4" t="s">
        <v>131</v>
      </c>
      <c r="C19" s="4" t="s">
        <v>132</v>
      </c>
      <c r="D19" s="10" t="s">
        <v>145</v>
      </c>
      <c r="E19" s="8" t="s">
        <v>146</v>
      </c>
      <c r="F19" s="41"/>
    </row>
    <row r="20" spans="2:6" ht="20.100000000000001" customHeight="1">
      <c r="B20" s="4" t="s">
        <v>131</v>
      </c>
      <c r="C20" s="4" t="s">
        <v>132</v>
      </c>
      <c r="D20" s="9" t="s">
        <v>147</v>
      </c>
      <c r="E20" s="6" t="s">
        <v>148</v>
      </c>
      <c r="F20" s="41"/>
    </row>
    <row r="21" spans="2:6" ht="20.100000000000001" customHeight="1">
      <c r="B21" s="4" t="s">
        <v>131</v>
      </c>
      <c r="C21" s="4" t="s">
        <v>132</v>
      </c>
      <c r="D21" s="9" t="s">
        <v>149</v>
      </c>
      <c r="E21" s="6" t="s">
        <v>150</v>
      </c>
      <c r="F21" s="41"/>
    </row>
    <row r="22" spans="2:6" ht="20.100000000000001" customHeight="1">
      <c r="B22" s="4" t="s">
        <v>131</v>
      </c>
      <c r="C22" s="4" t="s">
        <v>132</v>
      </c>
      <c r="D22" s="9" t="s">
        <v>151</v>
      </c>
      <c r="E22" s="6" t="s">
        <v>152</v>
      </c>
      <c r="F22" s="41"/>
    </row>
    <row r="23" spans="2:6" ht="20.100000000000001" customHeight="1">
      <c r="B23" s="4" t="s">
        <v>131</v>
      </c>
      <c r="C23" s="4" t="s">
        <v>132</v>
      </c>
      <c r="D23" s="11" t="s">
        <v>153</v>
      </c>
      <c r="E23" s="6" t="s">
        <v>154</v>
      </c>
      <c r="F23" s="41" t="s">
        <v>140</v>
      </c>
    </row>
    <row r="24" spans="2:6" ht="20.100000000000001" customHeight="1">
      <c r="B24" s="4" t="s">
        <v>131</v>
      </c>
      <c r="C24" s="4" t="s">
        <v>132</v>
      </c>
      <c r="D24" s="10" t="s">
        <v>155</v>
      </c>
      <c r="E24" s="8" t="s">
        <v>156</v>
      </c>
      <c r="F24" s="41"/>
    </row>
    <row r="25" spans="2:6" ht="20.100000000000001" customHeight="1">
      <c r="B25" s="4" t="s">
        <v>131</v>
      </c>
      <c r="C25" s="4" t="s">
        <v>132</v>
      </c>
      <c r="D25" s="10" t="s">
        <v>157</v>
      </c>
      <c r="E25" s="6" t="s">
        <v>158</v>
      </c>
      <c r="F25" s="41"/>
    </row>
    <row r="26" spans="2:6" ht="20.100000000000001" customHeight="1">
      <c r="B26" s="4" t="s">
        <v>131</v>
      </c>
      <c r="C26" s="4" t="s">
        <v>132</v>
      </c>
      <c r="D26" s="10" t="s">
        <v>159</v>
      </c>
      <c r="E26" s="8" t="s">
        <v>160</v>
      </c>
      <c r="F26" s="41"/>
    </row>
    <row r="27" spans="2:6" ht="20.100000000000001" customHeight="1">
      <c r="B27" s="4" t="s">
        <v>161</v>
      </c>
      <c r="C27" s="4" t="s">
        <v>162</v>
      </c>
      <c r="D27" s="17" t="s">
        <v>163</v>
      </c>
      <c r="E27" s="8" t="s">
        <v>164</v>
      </c>
      <c r="F27" s="41" t="s">
        <v>140</v>
      </c>
    </row>
    <row r="28" spans="2:6" ht="20.100000000000001" customHeight="1">
      <c r="B28" s="4" t="s">
        <v>161</v>
      </c>
      <c r="C28" s="4" t="s">
        <v>162</v>
      </c>
      <c r="D28" s="17" t="s">
        <v>165</v>
      </c>
      <c r="E28" s="8" t="s">
        <v>166</v>
      </c>
      <c r="F28" s="41" t="s">
        <v>140</v>
      </c>
    </row>
    <row r="29" spans="2:6" ht="20.100000000000001" customHeight="1">
      <c r="B29" s="4" t="s">
        <v>161</v>
      </c>
      <c r="C29" s="4" t="s">
        <v>162</v>
      </c>
      <c r="D29" s="10" t="s">
        <v>167</v>
      </c>
      <c r="E29" s="8" t="s">
        <v>168</v>
      </c>
      <c r="F29" s="41"/>
    </row>
    <row r="30" spans="2:6" ht="20.100000000000001" customHeight="1">
      <c r="B30" s="4" t="s">
        <v>161</v>
      </c>
      <c r="C30" s="4" t="s">
        <v>162</v>
      </c>
      <c r="D30" s="17" t="s">
        <v>169</v>
      </c>
      <c r="E30" s="8" t="s">
        <v>170</v>
      </c>
      <c r="F30" s="41"/>
    </row>
    <row r="31" spans="2:6" ht="20.100000000000001" customHeight="1">
      <c r="B31" s="4" t="s">
        <v>161</v>
      </c>
      <c r="C31" s="4" t="s">
        <v>162</v>
      </c>
      <c r="D31" s="17" t="s">
        <v>171</v>
      </c>
      <c r="E31" s="8" t="s">
        <v>172</v>
      </c>
      <c r="F31" s="41"/>
    </row>
    <row r="32" spans="2:6" ht="20.100000000000001" customHeight="1">
      <c r="B32" s="5" t="s">
        <v>161</v>
      </c>
      <c r="C32" s="4" t="s">
        <v>162</v>
      </c>
      <c r="D32" s="17" t="s">
        <v>173</v>
      </c>
      <c r="E32" s="7" t="s">
        <v>174</v>
      </c>
      <c r="F32" s="41"/>
    </row>
    <row r="33" spans="2:5" ht="20.100000000000001" customHeight="1">
      <c r="B33" s="18"/>
      <c r="C33" s="18"/>
      <c r="D33" s="19"/>
      <c r="E33" s="20"/>
    </row>
    <row r="34" spans="2:5" ht="20.100000000000001" customHeight="1"/>
    <row r="42" spans="2:5" ht="15.95" customHeight="1">
      <c r="B42" s="21"/>
      <c r="C42" s="21"/>
      <c r="D42" s="22"/>
    </row>
    <row r="43" spans="2:5">
      <c r="D43" s="23"/>
    </row>
    <row r="44" spans="2:5">
      <c r="D44" s="23"/>
    </row>
    <row r="49" spans="4:4">
      <c r="D49" s="23"/>
    </row>
    <row r="58" spans="4:4" ht="15.95" customHeight="1">
      <c r="D58" s="24"/>
    </row>
    <row r="59" spans="4:4" ht="15.95" customHeight="1">
      <c r="D59" s="24"/>
    </row>
    <row r="60" spans="4:4" ht="15.95" customHeight="1">
      <c r="D60" s="24"/>
    </row>
    <row r="61" spans="4:4">
      <c r="D61"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4"/>
  <sheetViews>
    <sheetView topLeftCell="A15" workbookViewId="0">
      <selection activeCell="A2" sqref="A2"/>
    </sheetView>
  </sheetViews>
  <sheetFormatPr defaultRowHeight="15.75"/>
  <cols>
    <col min="1" max="1" width="10" style="39" customWidth="1"/>
    <col min="2" max="2" width="32" style="39" customWidth="1"/>
    <col min="3" max="3" width="47.42578125" style="39" customWidth="1"/>
    <col min="4" max="4" width="10" style="39" customWidth="1"/>
    <col min="5" max="5" width="75" style="39" customWidth="1"/>
    <col min="6" max="6" width="15" style="39" customWidth="1"/>
    <col min="7" max="7" width="60" style="39" customWidth="1"/>
    <col min="8" max="12" width="9.140625" style="39" customWidth="1"/>
    <col min="13" max="16384" width="9.140625" style="39"/>
  </cols>
  <sheetData>
    <row r="1" spans="1:7" ht="20.100000000000001" customHeight="1">
      <c r="A1" s="114" t="s">
        <v>175</v>
      </c>
      <c r="B1" s="115"/>
      <c r="C1" s="115"/>
      <c r="D1" s="115"/>
      <c r="E1" s="115"/>
      <c r="F1" s="115"/>
      <c r="G1" s="115"/>
    </row>
    <row r="2" spans="1:7" ht="20.100000000000001" customHeight="1">
      <c r="A2" s="33"/>
      <c r="B2" s="33"/>
      <c r="C2" s="33"/>
      <c r="D2" s="33"/>
      <c r="E2" s="33"/>
      <c r="F2" s="33"/>
      <c r="G2" s="33"/>
    </row>
    <row r="3" spans="1:7" ht="20.100000000000001" customHeight="1">
      <c r="A3" s="116" t="s">
        <v>106</v>
      </c>
      <c r="B3" s="116" t="s">
        <v>176</v>
      </c>
      <c r="C3" s="116" t="s">
        <v>108</v>
      </c>
      <c r="D3" s="116" t="s">
        <v>2</v>
      </c>
      <c r="E3" s="116" t="s">
        <v>177</v>
      </c>
      <c r="F3" s="116" t="s">
        <v>178</v>
      </c>
      <c r="G3" s="116" t="s">
        <v>179</v>
      </c>
    </row>
    <row r="4" spans="1:7" ht="20.100000000000001" customHeight="1">
      <c r="A4" s="117" t="s">
        <v>110</v>
      </c>
      <c r="B4" s="117" t="s">
        <v>111</v>
      </c>
      <c r="C4" s="117" t="s">
        <v>112</v>
      </c>
      <c r="D4" s="118" t="s">
        <v>6</v>
      </c>
      <c r="E4" s="119" t="s">
        <v>180</v>
      </c>
      <c r="F4" s="118" t="s">
        <v>181</v>
      </c>
      <c r="G4" s="119" t="s">
        <v>182</v>
      </c>
    </row>
    <row r="5" spans="1:7" ht="20.100000000000001" customHeight="1">
      <c r="A5" s="117" t="s">
        <v>110</v>
      </c>
      <c r="B5" s="117" t="s">
        <v>111</v>
      </c>
      <c r="C5" s="117" t="s">
        <v>114</v>
      </c>
      <c r="D5" s="118" t="s">
        <v>6</v>
      </c>
      <c r="E5" s="119" t="s">
        <v>180</v>
      </c>
      <c r="F5" s="118" t="s">
        <v>181</v>
      </c>
      <c r="G5" s="119" t="s">
        <v>183</v>
      </c>
    </row>
    <row r="6" spans="1:7" ht="27" customHeight="1">
      <c r="A6" s="117" t="s">
        <v>110</v>
      </c>
      <c r="B6" s="117" t="s">
        <v>111</v>
      </c>
      <c r="C6" s="117" t="s">
        <v>116</v>
      </c>
      <c r="D6" s="118" t="s">
        <v>6</v>
      </c>
      <c r="E6" s="119" t="s">
        <v>184</v>
      </c>
      <c r="F6" s="118" t="s">
        <v>185</v>
      </c>
      <c r="G6" s="119" t="s">
        <v>186</v>
      </c>
    </row>
    <row r="7" spans="1:7" ht="20.100000000000001" customHeight="1">
      <c r="A7" s="120" t="s">
        <v>110</v>
      </c>
      <c r="B7" s="120" t="s">
        <v>111</v>
      </c>
      <c r="C7" s="120" t="s">
        <v>118</v>
      </c>
      <c r="D7" s="121" t="s">
        <v>10</v>
      </c>
      <c r="E7" s="122" t="s">
        <v>180</v>
      </c>
      <c r="F7" s="121" t="s">
        <v>185</v>
      </c>
      <c r="G7" s="122" t="s">
        <v>187</v>
      </c>
    </row>
    <row r="8" spans="1:7" ht="20.100000000000001" customHeight="1">
      <c r="A8" s="117" t="s">
        <v>110</v>
      </c>
      <c r="B8" s="117" t="s">
        <v>111</v>
      </c>
      <c r="C8" s="117" t="s">
        <v>120</v>
      </c>
      <c r="D8" s="118" t="s">
        <v>6</v>
      </c>
      <c r="E8" s="119" t="s">
        <v>188</v>
      </c>
      <c r="F8" s="118" t="s">
        <v>185</v>
      </c>
      <c r="G8" s="119" t="s">
        <v>189</v>
      </c>
    </row>
    <row r="9" spans="1:7" ht="27" customHeight="1">
      <c r="A9" s="117" t="s">
        <v>110</v>
      </c>
      <c r="B9" s="117" t="s">
        <v>111</v>
      </c>
      <c r="C9" s="117" t="s">
        <v>122</v>
      </c>
      <c r="D9" s="118" t="s">
        <v>6</v>
      </c>
      <c r="E9" s="119" t="s">
        <v>190</v>
      </c>
      <c r="F9" s="118" t="s">
        <v>181</v>
      </c>
      <c r="G9" s="119" t="s">
        <v>191</v>
      </c>
    </row>
    <row r="10" spans="1:7" ht="20.100000000000001" customHeight="1">
      <c r="A10" s="123" t="s">
        <v>110</v>
      </c>
      <c r="B10" s="123" t="s">
        <v>111</v>
      </c>
      <c r="C10" s="123" t="s">
        <v>101</v>
      </c>
      <c r="D10" s="124" t="s">
        <v>14</v>
      </c>
      <c r="E10" s="125" t="s">
        <v>192</v>
      </c>
      <c r="F10" s="124" t="s">
        <v>193</v>
      </c>
      <c r="G10" s="125" t="s">
        <v>194</v>
      </c>
    </row>
    <row r="11" spans="1:7" ht="20.100000000000001" customHeight="1">
      <c r="A11" s="123" t="s">
        <v>110</v>
      </c>
      <c r="B11" s="123" t="s">
        <v>111</v>
      </c>
      <c r="C11" s="123" t="s">
        <v>125</v>
      </c>
      <c r="D11" s="124" t="s">
        <v>14</v>
      </c>
      <c r="E11" s="125" t="s">
        <v>102</v>
      </c>
      <c r="F11" s="124" t="s">
        <v>193</v>
      </c>
      <c r="G11" s="125" t="s">
        <v>195</v>
      </c>
    </row>
    <row r="12" spans="1:7" ht="20.100000000000001" customHeight="1">
      <c r="A12" s="123" t="s">
        <v>110</v>
      </c>
      <c r="B12" s="123" t="s">
        <v>111</v>
      </c>
      <c r="C12" s="123" t="s">
        <v>127</v>
      </c>
      <c r="D12" s="124" t="s">
        <v>14</v>
      </c>
      <c r="E12" s="125" t="s">
        <v>102</v>
      </c>
      <c r="F12" s="124" t="s">
        <v>193</v>
      </c>
      <c r="G12" s="125" t="s">
        <v>195</v>
      </c>
    </row>
    <row r="13" spans="1:7" ht="20.100000000000001" customHeight="1">
      <c r="A13" s="123" t="s">
        <v>110</v>
      </c>
      <c r="B13" s="123" t="s">
        <v>111</v>
      </c>
      <c r="C13" s="123" t="s">
        <v>129</v>
      </c>
      <c r="D13" s="124" t="s">
        <v>14</v>
      </c>
      <c r="E13" s="125" t="s">
        <v>102</v>
      </c>
      <c r="F13" s="124" t="s">
        <v>193</v>
      </c>
      <c r="G13" s="125" t="s">
        <v>195</v>
      </c>
    </row>
    <row r="14" spans="1:7">
      <c r="A14" s="117" t="s">
        <v>131</v>
      </c>
      <c r="B14" s="117" t="s">
        <v>132</v>
      </c>
      <c r="C14" s="117" t="s">
        <v>105</v>
      </c>
      <c r="D14" s="118" t="s">
        <v>6</v>
      </c>
      <c r="E14" s="119" t="s">
        <v>196</v>
      </c>
      <c r="F14" s="118" t="s">
        <v>193</v>
      </c>
      <c r="G14" s="119" t="s">
        <v>197</v>
      </c>
    </row>
    <row r="15" spans="1:7">
      <c r="A15" s="117" t="s">
        <v>131</v>
      </c>
      <c r="B15" s="117" t="s">
        <v>132</v>
      </c>
      <c r="C15" s="117" t="s">
        <v>134</v>
      </c>
      <c r="D15" s="118" t="s">
        <v>6</v>
      </c>
      <c r="E15" s="119" t="s">
        <v>198</v>
      </c>
      <c r="F15" s="118" t="s">
        <v>181</v>
      </c>
      <c r="G15" s="119" t="s">
        <v>199</v>
      </c>
    </row>
    <row r="16" spans="1:7" ht="20.100000000000001" customHeight="1">
      <c r="A16" s="120" t="s">
        <v>131</v>
      </c>
      <c r="B16" s="120" t="s">
        <v>132</v>
      </c>
      <c r="C16" s="120" t="s">
        <v>136</v>
      </c>
      <c r="D16" s="121" t="s">
        <v>10</v>
      </c>
      <c r="E16" s="122" t="s">
        <v>180</v>
      </c>
      <c r="F16" s="121" t="s">
        <v>185</v>
      </c>
      <c r="G16" s="122" t="s">
        <v>200</v>
      </c>
    </row>
    <row r="17" spans="1:7" ht="26.25" customHeight="1">
      <c r="A17" s="123" t="s">
        <v>131</v>
      </c>
      <c r="B17" s="123" t="s">
        <v>132</v>
      </c>
      <c r="C17" s="123" t="s">
        <v>138</v>
      </c>
      <c r="D17" s="124" t="s">
        <v>14</v>
      </c>
      <c r="E17" s="125" t="s">
        <v>201</v>
      </c>
      <c r="F17" s="124" t="s">
        <v>73</v>
      </c>
      <c r="G17" s="125" t="s">
        <v>202</v>
      </c>
    </row>
    <row r="18" spans="1:7" ht="20.100000000000001" customHeight="1">
      <c r="A18" s="120" t="s">
        <v>131</v>
      </c>
      <c r="B18" s="120" t="s">
        <v>132</v>
      </c>
      <c r="C18" s="120" t="s">
        <v>141</v>
      </c>
      <c r="D18" s="121" t="s">
        <v>10</v>
      </c>
      <c r="E18" s="122" t="s">
        <v>180</v>
      </c>
      <c r="F18" s="121" t="s">
        <v>181</v>
      </c>
      <c r="G18" s="122" t="s">
        <v>203</v>
      </c>
    </row>
    <row r="19" spans="1:7" ht="27" customHeight="1">
      <c r="A19" s="117" t="s">
        <v>131</v>
      </c>
      <c r="B19" s="117" t="s">
        <v>132</v>
      </c>
      <c r="C19" s="117" t="s">
        <v>143</v>
      </c>
      <c r="D19" s="118" t="s">
        <v>6</v>
      </c>
      <c r="E19" s="119" t="s">
        <v>184</v>
      </c>
      <c r="F19" s="118" t="s">
        <v>185</v>
      </c>
      <c r="G19" s="119" t="s">
        <v>204</v>
      </c>
    </row>
    <row r="20" spans="1:7" ht="20.100000000000001" customHeight="1">
      <c r="A20" s="120" t="s">
        <v>131</v>
      </c>
      <c r="B20" s="120" t="s">
        <v>132</v>
      </c>
      <c r="C20" s="120" t="s">
        <v>145</v>
      </c>
      <c r="D20" s="121" t="s">
        <v>10</v>
      </c>
      <c r="E20" s="122" t="s">
        <v>201</v>
      </c>
      <c r="F20" s="121" t="s">
        <v>185</v>
      </c>
      <c r="G20" s="122" t="s">
        <v>205</v>
      </c>
    </row>
    <row r="21" spans="1:7" ht="20.100000000000001" customHeight="1">
      <c r="A21" s="120" t="s">
        <v>131</v>
      </c>
      <c r="B21" s="120" t="s">
        <v>132</v>
      </c>
      <c r="C21" s="120" t="s">
        <v>147</v>
      </c>
      <c r="D21" s="121" t="s">
        <v>10</v>
      </c>
      <c r="E21" s="122" t="s">
        <v>206</v>
      </c>
      <c r="F21" s="121" t="s">
        <v>193</v>
      </c>
      <c r="G21" s="122" t="s">
        <v>207</v>
      </c>
    </row>
    <row r="22" spans="1:7" ht="20.100000000000001" customHeight="1">
      <c r="A22" s="120" t="s">
        <v>131</v>
      </c>
      <c r="B22" s="120" t="s">
        <v>132</v>
      </c>
      <c r="C22" s="120" t="s">
        <v>149</v>
      </c>
      <c r="D22" s="121" t="s">
        <v>10</v>
      </c>
      <c r="E22" s="122" t="s">
        <v>206</v>
      </c>
      <c r="F22" s="121" t="s">
        <v>193</v>
      </c>
      <c r="G22" s="122" t="s">
        <v>208</v>
      </c>
    </row>
    <row r="23" spans="1:7" ht="20.100000000000001" customHeight="1">
      <c r="A23" s="120" t="s">
        <v>131</v>
      </c>
      <c r="B23" s="120" t="s">
        <v>132</v>
      </c>
      <c r="C23" s="120" t="s">
        <v>151</v>
      </c>
      <c r="D23" s="121" t="s">
        <v>10</v>
      </c>
      <c r="E23" s="122" t="s">
        <v>206</v>
      </c>
      <c r="F23" s="121" t="s">
        <v>193</v>
      </c>
      <c r="G23" s="122" t="s">
        <v>209</v>
      </c>
    </row>
    <row r="24" spans="1:7" ht="20.100000000000001" customHeight="1">
      <c r="A24" s="123" t="s">
        <v>131</v>
      </c>
      <c r="B24" s="123" t="s">
        <v>132</v>
      </c>
      <c r="C24" s="123" t="s">
        <v>153</v>
      </c>
      <c r="D24" s="124" t="s">
        <v>14</v>
      </c>
      <c r="E24" s="125" t="s">
        <v>210</v>
      </c>
      <c r="F24" s="124" t="s">
        <v>73</v>
      </c>
      <c r="G24" s="125" t="s">
        <v>211</v>
      </c>
    </row>
    <row r="25" spans="1:7" ht="20.100000000000001" customHeight="1">
      <c r="A25" s="123" t="s">
        <v>131</v>
      </c>
      <c r="B25" s="123" t="s">
        <v>132</v>
      </c>
      <c r="C25" s="123" t="s">
        <v>155</v>
      </c>
      <c r="D25" s="124" t="s">
        <v>14</v>
      </c>
      <c r="E25" s="125" t="s">
        <v>180</v>
      </c>
      <c r="F25" s="124" t="s">
        <v>181</v>
      </c>
      <c r="G25" s="125" t="s">
        <v>212</v>
      </c>
    </row>
    <row r="26" spans="1:7" ht="20.100000000000001" customHeight="1">
      <c r="A26" s="120" t="s">
        <v>131</v>
      </c>
      <c r="B26" s="120" t="s">
        <v>132</v>
      </c>
      <c r="C26" s="120" t="s">
        <v>157</v>
      </c>
      <c r="D26" s="121" t="s">
        <v>10</v>
      </c>
      <c r="E26" s="122" t="s">
        <v>213</v>
      </c>
      <c r="F26" s="121" t="s">
        <v>193</v>
      </c>
      <c r="G26" s="122" t="s">
        <v>214</v>
      </c>
    </row>
    <row r="27" spans="1:7" ht="20.100000000000001" customHeight="1">
      <c r="A27" s="120" t="s">
        <v>131</v>
      </c>
      <c r="B27" s="120" t="s">
        <v>132</v>
      </c>
      <c r="C27" s="120" t="s">
        <v>159</v>
      </c>
      <c r="D27" s="121" t="s">
        <v>10</v>
      </c>
      <c r="E27" s="122" t="s">
        <v>98</v>
      </c>
      <c r="F27" s="121" t="s">
        <v>193</v>
      </c>
      <c r="G27" s="122" t="s">
        <v>215</v>
      </c>
    </row>
    <row r="28" spans="1:7" ht="20.100000000000001" customHeight="1">
      <c r="A28" s="120" t="s">
        <v>161</v>
      </c>
      <c r="B28" s="120" t="s">
        <v>162</v>
      </c>
      <c r="C28" s="120" t="s">
        <v>163</v>
      </c>
      <c r="D28" s="121" t="s">
        <v>10</v>
      </c>
      <c r="E28" s="122" t="s">
        <v>216</v>
      </c>
      <c r="F28" s="121" t="s">
        <v>193</v>
      </c>
      <c r="G28" s="122" t="s">
        <v>217</v>
      </c>
    </row>
    <row r="29" spans="1:7" ht="20.100000000000001" customHeight="1">
      <c r="A29" s="120" t="s">
        <v>161</v>
      </c>
      <c r="B29" s="120" t="s">
        <v>162</v>
      </c>
      <c r="C29" s="120" t="s">
        <v>165</v>
      </c>
      <c r="D29" s="121" t="s">
        <v>10</v>
      </c>
      <c r="E29" s="122" t="s">
        <v>218</v>
      </c>
      <c r="F29" s="121" t="s">
        <v>193</v>
      </c>
      <c r="G29" s="122" t="s">
        <v>219</v>
      </c>
    </row>
    <row r="30" spans="1:7" ht="20.100000000000001" customHeight="1">
      <c r="A30" s="126" t="s">
        <v>161</v>
      </c>
      <c r="B30" s="126" t="s">
        <v>162</v>
      </c>
      <c r="C30" s="126" t="s">
        <v>167</v>
      </c>
      <c r="D30" s="127" t="s">
        <v>18</v>
      </c>
      <c r="E30" s="128" t="s">
        <v>220</v>
      </c>
      <c r="F30" s="127" t="s">
        <v>193</v>
      </c>
      <c r="G30" s="128" t="s">
        <v>221</v>
      </c>
    </row>
    <row r="31" spans="1:7" ht="20.100000000000001" customHeight="1">
      <c r="A31" s="126" t="s">
        <v>161</v>
      </c>
      <c r="B31" s="126" t="s">
        <v>162</v>
      </c>
      <c r="C31" s="126" t="s">
        <v>169</v>
      </c>
      <c r="D31" s="127" t="s">
        <v>18</v>
      </c>
      <c r="E31" s="128" t="s">
        <v>222</v>
      </c>
      <c r="F31" s="127" t="s">
        <v>193</v>
      </c>
      <c r="G31" s="128" t="s">
        <v>221</v>
      </c>
    </row>
    <row r="32" spans="1:7" ht="20.100000000000001" customHeight="1">
      <c r="A32" s="126" t="s">
        <v>161</v>
      </c>
      <c r="B32" s="126" t="s">
        <v>162</v>
      </c>
      <c r="C32" s="126" t="s">
        <v>171</v>
      </c>
      <c r="D32" s="127" t="s">
        <v>18</v>
      </c>
      <c r="E32" s="128" t="s">
        <v>98</v>
      </c>
      <c r="F32" s="127" t="s">
        <v>193</v>
      </c>
      <c r="G32" s="128" t="s">
        <v>223</v>
      </c>
    </row>
    <row r="33" spans="1:7" ht="20.100000000000001" customHeight="1">
      <c r="A33" s="126" t="s">
        <v>161</v>
      </c>
      <c r="B33" s="126" t="s">
        <v>162</v>
      </c>
      <c r="C33" s="126" t="s">
        <v>173</v>
      </c>
      <c r="D33" s="127" t="s">
        <v>18</v>
      </c>
      <c r="E33" s="128" t="s">
        <v>224</v>
      </c>
      <c r="F33" s="127" t="s">
        <v>73</v>
      </c>
      <c r="G33" s="128" t="s">
        <v>225</v>
      </c>
    </row>
    <row r="34" spans="1:7" ht="20.100000000000001" customHeight="1"/>
    <row r="35" spans="1:7" ht="20.100000000000001" customHeight="1"/>
    <row r="36" spans="1:7" ht="20.100000000000001" customHeight="1">
      <c r="A36" s="129" t="s">
        <v>226</v>
      </c>
      <c r="B36" s="115"/>
      <c r="C36" s="115"/>
    </row>
    <row r="37" spans="1:7" ht="20.100000000000001" customHeight="1">
      <c r="A37" s="39" t="s">
        <v>227</v>
      </c>
      <c r="B37" s="39">
        <v>6</v>
      </c>
    </row>
    <row r="38" spans="1:7" ht="20.100000000000001" customHeight="1">
      <c r="A38" s="39" t="s">
        <v>228</v>
      </c>
      <c r="B38" s="39">
        <v>6</v>
      </c>
    </row>
    <row r="39" spans="1:7" ht="20.100000000000001" customHeight="1">
      <c r="A39" s="39" t="s">
        <v>229</v>
      </c>
      <c r="B39" s="39">
        <v>15</v>
      </c>
    </row>
    <row r="40" spans="1:7" ht="20.100000000000001" customHeight="1">
      <c r="A40" s="39" t="s">
        <v>230</v>
      </c>
      <c r="B40" s="39">
        <v>3</v>
      </c>
    </row>
    <row r="41" spans="1:7" ht="20.100000000000001" customHeight="1"/>
    <row r="42" spans="1:7" ht="20.100000000000001" customHeight="1">
      <c r="A42" s="40" t="s">
        <v>231</v>
      </c>
    </row>
    <row r="43" spans="1:7" ht="20.100000000000001" customHeight="1">
      <c r="A43" s="130" t="s">
        <v>6</v>
      </c>
      <c r="B43" s="39" t="s">
        <v>232</v>
      </c>
    </row>
    <row r="44" spans="1:7" ht="20.100000000000001" customHeight="1">
      <c r="A44" s="131" t="s">
        <v>10</v>
      </c>
      <c r="B44" s="39" t="s">
        <v>233</v>
      </c>
    </row>
    <row r="45" spans="1:7" ht="20.100000000000001" customHeight="1">
      <c r="A45" s="132" t="s">
        <v>14</v>
      </c>
      <c r="B45" s="39" t="s">
        <v>234</v>
      </c>
    </row>
    <row r="46" spans="1:7" ht="20.100000000000001" customHeight="1">
      <c r="A46" s="133" t="s">
        <v>18</v>
      </c>
      <c r="B46" s="39" t="s">
        <v>235</v>
      </c>
    </row>
    <row r="47" spans="1:7" ht="20.100000000000001" customHeight="1"/>
    <row r="48" spans="1:7" ht="20.100000000000001" customHeight="1">
      <c r="A48" s="40" t="s">
        <v>236</v>
      </c>
    </row>
    <row r="49" spans="1:1" ht="20.100000000000001" customHeight="1">
      <c r="A49" s="39" t="s">
        <v>237</v>
      </c>
    </row>
    <row r="50" spans="1:1" ht="20.100000000000001" customHeight="1">
      <c r="A50" s="39" t="s">
        <v>238</v>
      </c>
    </row>
    <row r="51" spans="1:1" ht="20.100000000000001" customHeight="1">
      <c r="A51" s="39" t="s">
        <v>239</v>
      </c>
    </row>
    <row r="52" spans="1:1" ht="20.100000000000001" customHeight="1">
      <c r="A52" s="39" t="s">
        <v>240</v>
      </c>
    </row>
    <row r="53" spans="1:1" ht="20.100000000000001" customHeight="1"/>
    <row r="54" spans="1:1" ht="20.100000000000001" customHeight="1"/>
  </sheetData>
  <mergeCells count="2">
    <mergeCell ref="A36:C36"/>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9"/>
  <sheetViews>
    <sheetView topLeftCell="A28" workbookViewId="0">
      <selection activeCell="A27" sqref="A27"/>
    </sheetView>
  </sheetViews>
  <sheetFormatPr defaultColWidth="45" defaultRowHeight="12.75"/>
  <cols>
    <col min="1" max="1" width="10" style="37" bestFit="1" customWidth="1"/>
    <col min="2" max="2" width="32" style="37" customWidth="1"/>
    <col min="3" max="3" width="45" style="37" customWidth="1"/>
    <col min="4" max="4" width="10" style="41" customWidth="1"/>
    <col min="5" max="10" width="55" style="41" customWidth="1"/>
    <col min="11" max="13" width="45" style="37" customWidth="1"/>
    <col min="14" max="16384" width="45" style="37"/>
  </cols>
  <sheetData>
    <row r="1" spans="1:10" ht="20.100000000000001" customHeight="1">
      <c r="A1" s="134" t="s">
        <v>241</v>
      </c>
      <c r="B1" s="75"/>
      <c r="C1" s="75"/>
      <c r="D1" s="135"/>
      <c r="E1" s="135"/>
      <c r="F1" s="135"/>
      <c r="G1" s="135"/>
      <c r="H1" s="135"/>
      <c r="I1" s="135"/>
      <c r="J1" s="135"/>
    </row>
    <row r="2" spans="1:10" ht="20.100000000000001" customHeight="1">
      <c r="A2" s="27" t="s">
        <v>242</v>
      </c>
    </row>
    <row r="3" spans="1:10" ht="20.100000000000001" customHeight="1"/>
    <row r="4" spans="1:10" ht="20.100000000000001" customHeight="1">
      <c r="A4" s="136" t="s">
        <v>106</v>
      </c>
      <c r="B4" s="136" t="s">
        <v>176</v>
      </c>
      <c r="C4" s="136" t="s">
        <v>108</v>
      </c>
      <c r="D4" s="136" t="s">
        <v>2</v>
      </c>
      <c r="E4" s="136" t="s">
        <v>48</v>
      </c>
      <c r="F4" s="136" t="s">
        <v>53</v>
      </c>
      <c r="G4" s="136" t="s">
        <v>40</v>
      </c>
      <c r="H4" s="136" t="s">
        <v>46</v>
      </c>
      <c r="I4" s="136" t="s">
        <v>56</v>
      </c>
      <c r="J4" s="136" t="s">
        <v>60</v>
      </c>
    </row>
    <row r="5" spans="1:10" ht="20.100000000000001" customHeight="1">
      <c r="A5" s="137" t="s">
        <v>110</v>
      </c>
      <c r="B5" s="137" t="s">
        <v>111</v>
      </c>
      <c r="C5" s="137" t="s">
        <v>112</v>
      </c>
      <c r="D5" s="138" t="s">
        <v>6</v>
      </c>
      <c r="E5" s="139" t="s">
        <v>68</v>
      </c>
      <c r="F5" s="139" t="s">
        <v>68</v>
      </c>
      <c r="G5" s="140" t="s">
        <v>243</v>
      </c>
      <c r="H5" s="140" t="s">
        <v>243</v>
      </c>
      <c r="I5" s="141" t="s">
        <v>244</v>
      </c>
      <c r="J5" s="141" t="s">
        <v>245</v>
      </c>
    </row>
    <row r="6" spans="1:10" ht="20.100000000000001" customHeight="1">
      <c r="A6" s="137" t="s">
        <v>110</v>
      </c>
      <c r="B6" s="137" t="s">
        <v>111</v>
      </c>
      <c r="C6" s="137" t="s">
        <v>114</v>
      </c>
      <c r="D6" s="138" t="s">
        <v>6</v>
      </c>
      <c r="E6" s="139" t="s">
        <v>68</v>
      </c>
      <c r="F6" s="139" t="s">
        <v>68</v>
      </c>
      <c r="G6" s="140" t="s">
        <v>246</v>
      </c>
      <c r="H6" s="140" t="s">
        <v>246</v>
      </c>
      <c r="I6" s="141" t="s">
        <v>244</v>
      </c>
      <c r="J6" s="141" t="s">
        <v>245</v>
      </c>
    </row>
    <row r="7" spans="1:10" ht="20.100000000000001" customHeight="1">
      <c r="A7" s="137" t="s">
        <v>110</v>
      </c>
      <c r="B7" s="137" t="s">
        <v>111</v>
      </c>
      <c r="C7" s="137" t="s">
        <v>116</v>
      </c>
      <c r="D7" s="138" t="s">
        <v>6</v>
      </c>
      <c r="E7" s="140" t="s">
        <v>247</v>
      </c>
      <c r="F7" s="139" t="s">
        <v>248</v>
      </c>
      <c r="G7" s="140" t="s">
        <v>249</v>
      </c>
      <c r="H7" s="140" t="s">
        <v>249</v>
      </c>
      <c r="I7" s="141" t="s">
        <v>244</v>
      </c>
      <c r="J7" s="140" t="s">
        <v>250</v>
      </c>
    </row>
    <row r="8" spans="1:10" ht="20.100000000000001" customHeight="1">
      <c r="A8" s="142" t="s">
        <v>110</v>
      </c>
      <c r="B8" s="142" t="s">
        <v>111</v>
      </c>
      <c r="C8" s="142" t="s">
        <v>118</v>
      </c>
      <c r="D8" s="143" t="s">
        <v>10</v>
      </c>
      <c r="E8" s="144" t="s">
        <v>251</v>
      </c>
      <c r="F8" s="144" t="s">
        <v>252</v>
      </c>
      <c r="G8" s="144" t="s">
        <v>253</v>
      </c>
      <c r="H8" s="144" t="s">
        <v>253</v>
      </c>
      <c r="I8" s="145" t="s">
        <v>244</v>
      </c>
      <c r="J8" s="144" t="s">
        <v>253</v>
      </c>
    </row>
    <row r="9" spans="1:10" ht="20.100000000000001" customHeight="1">
      <c r="A9" s="137" t="s">
        <v>110</v>
      </c>
      <c r="B9" s="137" t="s">
        <v>111</v>
      </c>
      <c r="C9" s="137" t="s">
        <v>120</v>
      </c>
      <c r="D9" s="138" t="s">
        <v>6</v>
      </c>
      <c r="E9" s="140" t="s">
        <v>254</v>
      </c>
      <c r="F9" s="140" t="s">
        <v>254</v>
      </c>
      <c r="G9" s="140" t="s">
        <v>255</v>
      </c>
      <c r="H9" s="140" t="s">
        <v>255</v>
      </c>
      <c r="I9" s="141" t="s">
        <v>244</v>
      </c>
      <c r="J9" s="140" t="s">
        <v>255</v>
      </c>
    </row>
    <row r="10" spans="1:10" ht="20.100000000000001" customHeight="1">
      <c r="A10" s="137" t="s">
        <v>110</v>
      </c>
      <c r="B10" s="137" t="s">
        <v>111</v>
      </c>
      <c r="C10" s="137" t="s">
        <v>122</v>
      </c>
      <c r="D10" s="138" t="s">
        <v>6</v>
      </c>
      <c r="E10" s="139" t="s">
        <v>68</v>
      </c>
      <c r="F10" s="139" t="s">
        <v>68</v>
      </c>
      <c r="G10" s="140" t="s">
        <v>256</v>
      </c>
      <c r="H10" s="140" t="s">
        <v>256</v>
      </c>
      <c r="I10" s="141" t="s">
        <v>244</v>
      </c>
      <c r="J10" s="141" t="s">
        <v>257</v>
      </c>
    </row>
    <row r="11" spans="1:10" ht="20.100000000000001" customHeight="1">
      <c r="A11" s="146" t="s">
        <v>110</v>
      </c>
      <c r="B11" s="146" t="s">
        <v>111</v>
      </c>
      <c r="C11" s="146" t="s">
        <v>101</v>
      </c>
      <c r="D11" s="147" t="s">
        <v>14</v>
      </c>
      <c r="E11" s="148" t="s">
        <v>100</v>
      </c>
      <c r="F11" s="148" t="s">
        <v>100</v>
      </c>
      <c r="G11" s="148" t="s">
        <v>100</v>
      </c>
      <c r="H11" s="148" t="s">
        <v>100</v>
      </c>
      <c r="I11" s="148" t="s">
        <v>100</v>
      </c>
      <c r="J11" s="148" t="s">
        <v>100</v>
      </c>
    </row>
    <row r="12" spans="1:10" ht="20.100000000000001" customHeight="1">
      <c r="A12" s="146" t="s">
        <v>110</v>
      </c>
      <c r="B12" s="146" t="s">
        <v>111</v>
      </c>
      <c r="C12" s="146" t="s">
        <v>125</v>
      </c>
      <c r="D12" s="147" t="s">
        <v>14</v>
      </c>
      <c r="E12" s="148" t="s">
        <v>258</v>
      </c>
      <c r="F12" s="148" t="s">
        <v>258</v>
      </c>
      <c r="G12" s="148" t="s">
        <v>258</v>
      </c>
      <c r="H12" s="148" t="s">
        <v>258</v>
      </c>
      <c r="I12" s="149" t="s">
        <v>244</v>
      </c>
      <c r="J12" s="148" t="s">
        <v>258</v>
      </c>
    </row>
    <row r="13" spans="1:10" ht="20.100000000000001" customHeight="1">
      <c r="A13" s="146" t="s">
        <v>110</v>
      </c>
      <c r="B13" s="146" t="s">
        <v>111</v>
      </c>
      <c r="C13" s="146" t="s">
        <v>127</v>
      </c>
      <c r="D13" s="147" t="s">
        <v>14</v>
      </c>
      <c r="E13" s="148" t="s">
        <v>259</v>
      </c>
      <c r="F13" s="148" t="s">
        <v>259</v>
      </c>
      <c r="G13" s="148" t="s">
        <v>259</v>
      </c>
      <c r="H13" s="148" t="s">
        <v>259</v>
      </c>
      <c r="I13" s="149" t="s">
        <v>244</v>
      </c>
      <c r="J13" s="148" t="s">
        <v>259</v>
      </c>
    </row>
    <row r="14" spans="1:10" ht="20.100000000000001" customHeight="1">
      <c r="A14" s="146" t="s">
        <v>110</v>
      </c>
      <c r="B14" s="146" t="s">
        <v>111</v>
      </c>
      <c r="C14" s="146" t="s">
        <v>129</v>
      </c>
      <c r="D14" s="147" t="s">
        <v>14</v>
      </c>
      <c r="E14" s="148" t="s">
        <v>260</v>
      </c>
      <c r="F14" s="148" t="s">
        <v>260</v>
      </c>
      <c r="G14" s="148" t="s">
        <v>260</v>
      </c>
      <c r="H14" s="148" t="s">
        <v>260</v>
      </c>
      <c r="I14" s="149" t="s">
        <v>244</v>
      </c>
      <c r="J14" s="148" t="s">
        <v>260</v>
      </c>
    </row>
    <row r="15" spans="1:10" ht="20.100000000000001" customHeight="1">
      <c r="A15" s="137" t="s">
        <v>131</v>
      </c>
      <c r="B15" s="137" t="s">
        <v>132</v>
      </c>
      <c r="C15" s="137" t="s">
        <v>105</v>
      </c>
      <c r="D15" s="138" t="s">
        <v>6</v>
      </c>
      <c r="E15" s="140" t="s">
        <v>104</v>
      </c>
      <c r="F15" s="140" t="s">
        <v>104</v>
      </c>
      <c r="G15" s="140" t="s">
        <v>104</v>
      </c>
      <c r="H15" s="140" t="s">
        <v>104</v>
      </c>
      <c r="I15" s="140" t="s">
        <v>104</v>
      </c>
      <c r="J15" s="140" t="s">
        <v>104</v>
      </c>
    </row>
    <row r="16" spans="1:10" ht="20.100000000000001" customHeight="1">
      <c r="A16" s="137" t="s">
        <v>131</v>
      </c>
      <c r="B16" s="137" t="s">
        <v>132</v>
      </c>
      <c r="C16" s="137" t="s">
        <v>134</v>
      </c>
      <c r="D16" s="138" t="s">
        <v>6</v>
      </c>
      <c r="E16" s="139" t="s">
        <v>68</v>
      </c>
      <c r="F16" s="139" t="s">
        <v>68</v>
      </c>
      <c r="G16" s="140" t="s">
        <v>261</v>
      </c>
      <c r="H16" s="140" t="s">
        <v>261</v>
      </c>
      <c r="I16" s="141" t="s">
        <v>244</v>
      </c>
      <c r="J16" s="141" t="s">
        <v>257</v>
      </c>
    </row>
    <row r="17" spans="1:10" ht="20.100000000000001" customHeight="1">
      <c r="A17" s="142" t="s">
        <v>131</v>
      </c>
      <c r="B17" s="142" t="s">
        <v>132</v>
      </c>
      <c r="C17" s="142" t="s">
        <v>136</v>
      </c>
      <c r="D17" s="143" t="s">
        <v>10</v>
      </c>
      <c r="E17" s="144" t="s">
        <v>262</v>
      </c>
      <c r="F17" s="144" t="s">
        <v>263</v>
      </c>
      <c r="G17" s="144" t="s">
        <v>264</v>
      </c>
      <c r="H17" s="144" t="s">
        <v>264</v>
      </c>
      <c r="I17" s="145" t="s">
        <v>244</v>
      </c>
      <c r="J17" s="144" t="s">
        <v>264</v>
      </c>
    </row>
    <row r="18" spans="1:10" ht="20.100000000000001" customHeight="1">
      <c r="A18" s="146" t="s">
        <v>131</v>
      </c>
      <c r="B18" s="146" t="s">
        <v>132</v>
      </c>
      <c r="C18" s="146" t="s">
        <v>138</v>
      </c>
      <c r="D18" s="147" t="s">
        <v>14</v>
      </c>
      <c r="E18" s="149" t="s">
        <v>265</v>
      </c>
      <c r="F18" s="150" t="s">
        <v>266</v>
      </c>
      <c r="G18" s="149" t="s">
        <v>265</v>
      </c>
      <c r="H18" s="149" t="s">
        <v>265</v>
      </c>
      <c r="I18" s="149" t="s">
        <v>265</v>
      </c>
      <c r="J18" s="149" t="s">
        <v>265</v>
      </c>
    </row>
    <row r="19" spans="1:10" ht="20.100000000000001" customHeight="1">
      <c r="A19" s="142" t="s">
        <v>131</v>
      </c>
      <c r="B19" s="142" t="s">
        <v>132</v>
      </c>
      <c r="C19" s="142" t="s">
        <v>141</v>
      </c>
      <c r="D19" s="143" t="s">
        <v>10</v>
      </c>
      <c r="E19" s="151" t="s">
        <v>68</v>
      </c>
      <c r="F19" s="151" t="s">
        <v>68</v>
      </c>
      <c r="G19" s="144" t="s">
        <v>267</v>
      </c>
      <c r="H19" s="144" t="s">
        <v>267</v>
      </c>
      <c r="I19" s="145" t="s">
        <v>244</v>
      </c>
      <c r="J19" s="144" t="s">
        <v>267</v>
      </c>
    </row>
    <row r="20" spans="1:10" ht="20.100000000000001" customHeight="1">
      <c r="A20" s="137" t="s">
        <v>131</v>
      </c>
      <c r="B20" s="137" t="s">
        <v>132</v>
      </c>
      <c r="C20" s="137" t="s">
        <v>143</v>
      </c>
      <c r="D20" s="138" t="s">
        <v>6</v>
      </c>
      <c r="E20" s="140" t="s">
        <v>268</v>
      </c>
      <c r="F20" s="139" t="s">
        <v>269</v>
      </c>
      <c r="G20" s="140" t="s">
        <v>270</v>
      </c>
      <c r="H20" s="140" t="s">
        <v>270</v>
      </c>
      <c r="I20" s="141" t="s">
        <v>244</v>
      </c>
      <c r="J20" s="140" t="s">
        <v>271</v>
      </c>
    </row>
    <row r="21" spans="1:10" ht="20.100000000000001" customHeight="1">
      <c r="A21" s="142" t="s">
        <v>131</v>
      </c>
      <c r="B21" s="142" t="s">
        <v>132</v>
      </c>
      <c r="C21" s="142" t="s">
        <v>145</v>
      </c>
      <c r="D21" s="143" t="s">
        <v>10</v>
      </c>
      <c r="E21" s="144" t="s">
        <v>272</v>
      </c>
      <c r="F21" s="151" t="s">
        <v>273</v>
      </c>
      <c r="G21" s="145" t="s">
        <v>274</v>
      </c>
      <c r="H21" s="145" t="s">
        <v>274</v>
      </c>
      <c r="I21" s="145" t="s">
        <v>274</v>
      </c>
      <c r="J21" s="145" t="s">
        <v>274</v>
      </c>
    </row>
    <row r="22" spans="1:10" ht="20.100000000000001" customHeight="1">
      <c r="A22" s="142" t="s">
        <v>131</v>
      </c>
      <c r="B22" s="142" t="s">
        <v>132</v>
      </c>
      <c r="C22" s="142" t="s">
        <v>147</v>
      </c>
      <c r="D22" s="143" t="s">
        <v>10</v>
      </c>
      <c r="E22" s="144" t="s">
        <v>275</v>
      </c>
      <c r="F22" s="151" t="s">
        <v>276</v>
      </c>
      <c r="G22" s="144" t="s">
        <v>277</v>
      </c>
      <c r="H22" s="144" t="s">
        <v>277</v>
      </c>
      <c r="I22" s="145" t="s">
        <v>244</v>
      </c>
      <c r="J22" s="144" t="s">
        <v>277</v>
      </c>
    </row>
    <row r="23" spans="1:10" ht="20.100000000000001" customHeight="1">
      <c r="A23" s="142" t="s">
        <v>131</v>
      </c>
      <c r="B23" s="142" t="s">
        <v>132</v>
      </c>
      <c r="C23" s="142" t="s">
        <v>149</v>
      </c>
      <c r="D23" s="143" t="s">
        <v>10</v>
      </c>
      <c r="E23" s="144" t="s">
        <v>275</v>
      </c>
      <c r="F23" s="151" t="s">
        <v>276</v>
      </c>
      <c r="G23" s="144" t="s">
        <v>277</v>
      </c>
      <c r="H23" s="144" t="s">
        <v>277</v>
      </c>
      <c r="I23" s="145" t="s">
        <v>244</v>
      </c>
      <c r="J23" s="145" t="s">
        <v>278</v>
      </c>
    </row>
    <row r="24" spans="1:10" ht="20.100000000000001" customHeight="1">
      <c r="A24" s="142" t="s">
        <v>131</v>
      </c>
      <c r="B24" s="142" t="s">
        <v>132</v>
      </c>
      <c r="C24" s="142" t="s">
        <v>151</v>
      </c>
      <c r="D24" s="143" t="s">
        <v>10</v>
      </c>
      <c r="E24" s="144" t="s">
        <v>275</v>
      </c>
      <c r="F24" s="151" t="s">
        <v>276</v>
      </c>
      <c r="G24" s="144" t="s">
        <v>277</v>
      </c>
      <c r="H24" s="144" t="s">
        <v>277</v>
      </c>
      <c r="I24" s="145" t="s">
        <v>244</v>
      </c>
      <c r="J24" s="144" t="s">
        <v>277</v>
      </c>
    </row>
    <row r="25" spans="1:10" ht="20.100000000000001" customHeight="1">
      <c r="A25" s="146" t="s">
        <v>131</v>
      </c>
      <c r="B25" s="146" t="s">
        <v>132</v>
      </c>
      <c r="C25" s="146" t="s">
        <v>153</v>
      </c>
      <c r="D25" s="147" t="s">
        <v>14</v>
      </c>
      <c r="E25" s="149" t="s">
        <v>265</v>
      </c>
      <c r="F25" s="150" t="s">
        <v>279</v>
      </c>
      <c r="G25" s="149" t="s">
        <v>265</v>
      </c>
      <c r="H25" s="149" t="s">
        <v>265</v>
      </c>
      <c r="I25" s="149" t="s">
        <v>265</v>
      </c>
      <c r="J25" s="149" t="s">
        <v>265</v>
      </c>
    </row>
    <row r="26" spans="1:10" ht="20.100000000000001" customHeight="1">
      <c r="A26" s="146" t="s">
        <v>131</v>
      </c>
      <c r="B26" s="146" t="s">
        <v>132</v>
      </c>
      <c r="C26" s="146" t="s">
        <v>155</v>
      </c>
      <c r="D26" s="147" t="s">
        <v>14</v>
      </c>
      <c r="E26" s="150" t="s">
        <v>68</v>
      </c>
      <c r="F26" s="150" t="s">
        <v>68</v>
      </c>
      <c r="G26" s="148" t="s">
        <v>280</v>
      </c>
      <c r="H26" s="148" t="s">
        <v>280</v>
      </c>
      <c r="I26" s="149" t="s">
        <v>244</v>
      </c>
      <c r="J26" s="148" t="s">
        <v>280</v>
      </c>
    </row>
    <row r="27" spans="1:10" ht="20.100000000000001" customHeight="1">
      <c r="A27" s="142" t="s">
        <v>131</v>
      </c>
      <c r="B27" s="142" t="s">
        <v>132</v>
      </c>
      <c r="C27" s="142" t="s">
        <v>157</v>
      </c>
      <c r="D27" s="143" t="s">
        <v>10</v>
      </c>
      <c r="E27" s="144" t="s">
        <v>281</v>
      </c>
      <c r="F27" s="144" t="s">
        <v>282</v>
      </c>
      <c r="G27" s="144" t="s">
        <v>281</v>
      </c>
      <c r="H27" s="144" t="s">
        <v>281</v>
      </c>
      <c r="I27" s="145" t="s">
        <v>244</v>
      </c>
      <c r="J27" s="145" t="s">
        <v>283</v>
      </c>
    </row>
    <row r="28" spans="1:10" ht="20.100000000000001" customHeight="1">
      <c r="A28" s="142" t="s">
        <v>131</v>
      </c>
      <c r="B28" s="142" t="s">
        <v>132</v>
      </c>
      <c r="C28" s="142" t="s">
        <v>159</v>
      </c>
      <c r="D28" s="143" t="s">
        <v>10</v>
      </c>
      <c r="E28" s="144" t="s">
        <v>284</v>
      </c>
      <c r="F28" s="144" t="s">
        <v>284</v>
      </c>
      <c r="G28" s="144" t="s">
        <v>284</v>
      </c>
      <c r="H28" s="144" t="s">
        <v>284</v>
      </c>
      <c r="I28" s="145" t="s">
        <v>244</v>
      </c>
      <c r="J28" s="144" t="s">
        <v>284</v>
      </c>
    </row>
    <row r="29" spans="1:10" ht="20.100000000000001" customHeight="1">
      <c r="A29" s="142" t="s">
        <v>161</v>
      </c>
      <c r="B29" s="142" t="s">
        <v>162</v>
      </c>
      <c r="C29" s="142" t="s">
        <v>163</v>
      </c>
      <c r="D29" s="143" t="s">
        <v>10</v>
      </c>
      <c r="E29" s="144" t="s">
        <v>285</v>
      </c>
      <c r="F29" s="144" t="s">
        <v>286</v>
      </c>
      <c r="G29" s="144" t="s">
        <v>285</v>
      </c>
      <c r="H29" s="144" t="s">
        <v>285</v>
      </c>
      <c r="I29" s="145" t="s">
        <v>244</v>
      </c>
      <c r="J29" s="145" t="s">
        <v>287</v>
      </c>
    </row>
    <row r="30" spans="1:10" ht="20.100000000000001" customHeight="1">
      <c r="A30" s="142" t="s">
        <v>161</v>
      </c>
      <c r="B30" s="142" t="s">
        <v>162</v>
      </c>
      <c r="C30" s="142" t="s">
        <v>165</v>
      </c>
      <c r="D30" s="143" t="s">
        <v>10</v>
      </c>
      <c r="E30" s="144" t="s">
        <v>288</v>
      </c>
      <c r="F30" s="144" t="s">
        <v>289</v>
      </c>
      <c r="G30" s="144" t="s">
        <v>288</v>
      </c>
      <c r="H30" s="144" t="s">
        <v>288</v>
      </c>
      <c r="I30" s="145" t="s">
        <v>244</v>
      </c>
      <c r="J30" s="145" t="s">
        <v>290</v>
      </c>
    </row>
    <row r="31" spans="1:10" ht="20.100000000000001" customHeight="1">
      <c r="A31" s="152" t="s">
        <v>161</v>
      </c>
      <c r="B31" s="152" t="s">
        <v>162</v>
      </c>
      <c r="C31" s="152" t="s">
        <v>167</v>
      </c>
      <c r="D31" s="153" t="s">
        <v>18</v>
      </c>
      <c r="E31" s="154" t="s">
        <v>291</v>
      </c>
      <c r="F31" s="154" t="s">
        <v>292</v>
      </c>
      <c r="G31" s="154" t="s">
        <v>291</v>
      </c>
      <c r="H31" s="154" t="s">
        <v>291</v>
      </c>
      <c r="I31" s="155" t="s">
        <v>244</v>
      </c>
      <c r="J31" s="155" t="s">
        <v>293</v>
      </c>
    </row>
    <row r="32" spans="1:10" ht="20.100000000000001" customHeight="1">
      <c r="A32" s="152" t="s">
        <v>161</v>
      </c>
      <c r="B32" s="152" t="s">
        <v>162</v>
      </c>
      <c r="C32" s="152" t="s">
        <v>169</v>
      </c>
      <c r="D32" s="153" t="s">
        <v>18</v>
      </c>
      <c r="E32" s="154" t="s">
        <v>285</v>
      </c>
      <c r="F32" s="154" t="s">
        <v>294</v>
      </c>
      <c r="G32" s="154" t="s">
        <v>285</v>
      </c>
      <c r="H32" s="154" t="s">
        <v>285</v>
      </c>
      <c r="I32" s="155" t="s">
        <v>244</v>
      </c>
      <c r="J32" s="155" t="s">
        <v>287</v>
      </c>
    </row>
    <row r="33" spans="1:10" ht="20.100000000000001" customHeight="1">
      <c r="A33" s="152" t="s">
        <v>161</v>
      </c>
      <c r="B33" s="152" t="s">
        <v>162</v>
      </c>
      <c r="C33" s="152" t="s">
        <v>171</v>
      </c>
      <c r="D33" s="153" t="s">
        <v>18</v>
      </c>
      <c r="E33" s="154" t="s">
        <v>294</v>
      </c>
      <c r="F33" s="154" t="s">
        <v>294</v>
      </c>
      <c r="G33" s="154" t="s">
        <v>294</v>
      </c>
      <c r="H33" s="154" t="s">
        <v>294</v>
      </c>
      <c r="I33" s="155" t="s">
        <v>244</v>
      </c>
      <c r="J33" s="154" t="s">
        <v>294</v>
      </c>
    </row>
    <row r="34" spans="1:10" ht="20.100000000000001" customHeight="1">
      <c r="A34" s="152" t="s">
        <v>161</v>
      </c>
      <c r="B34" s="152" t="s">
        <v>162</v>
      </c>
      <c r="C34" s="152" t="s">
        <v>173</v>
      </c>
      <c r="D34" s="153" t="s">
        <v>18</v>
      </c>
      <c r="E34" s="155" t="s">
        <v>295</v>
      </c>
      <c r="F34" s="155" t="s">
        <v>295</v>
      </c>
      <c r="G34" s="155" t="s">
        <v>295</v>
      </c>
      <c r="H34" s="155" t="s">
        <v>295</v>
      </c>
      <c r="I34" s="155" t="s">
        <v>295</v>
      </c>
      <c r="J34" s="155" t="s">
        <v>295</v>
      </c>
    </row>
    <row r="35" spans="1:10" ht="20.100000000000001" customHeight="1"/>
    <row r="36" spans="1:10" ht="20.100000000000001" customHeight="1"/>
    <row r="37" spans="1:10" ht="20.100000000000001" customHeight="1">
      <c r="A37" s="75"/>
      <c r="B37" s="75"/>
      <c r="C37" s="75"/>
      <c r="D37" s="135"/>
      <c r="E37" s="135"/>
      <c r="F37" s="135"/>
      <c r="G37" s="135"/>
      <c r="H37" s="135"/>
      <c r="I37" s="135"/>
      <c r="J37" s="135"/>
    </row>
    <row r="38" spans="1:10" ht="20.100000000000001" customHeight="1"/>
    <row r="39" spans="1:10" ht="20.100000000000001" customHeight="1"/>
  </sheetData>
  <mergeCells count="2">
    <mergeCell ref="A1:J1"/>
    <mergeCell ref="A37:J3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5"/>
  <sheetViews>
    <sheetView topLeftCell="A10" workbookViewId="0">
      <selection activeCell="B36" sqref="B36"/>
    </sheetView>
  </sheetViews>
  <sheetFormatPr defaultRowHeight="15"/>
  <cols>
    <col min="1" max="1" width="10.5703125" style="41" bestFit="1" customWidth="1"/>
    <col min="2" max="2" width="14" style="41" customWidth="1"/>
    <col min="3" max="3" width="8.140625" style="41" bestFit="1" customWidth="1"/>
    <col min="4" max="4" width="8" style="41" customWidth="1"/>
    <col min="5" max="5" width="12.42578125" style="41" bestFit="1" customWidth="1"/>
    <col min="6" max="6" width="10.5703125" style="41" customWidth="1"/>
    <col min="7" max="7" width="14" style="41" bestFit="1" customWidth="1"/>
    <col min="8" max="8" width="18.28515625" style="41" customWidth="1"/>
    <col min="9" max="9" width="45" style="41" customWidth="1"/>
    <col min="10" max="10" width="10.7109375" style="41" customWidth="1"/>
    <col min="11" max="11" width="9.140625" style="41" customWidth="1"/>
    <col min="12" max="16384" width="9.140625" style="41"/>
  </cols>
  <sheetData>
    <row r="1" spans="1:12">
      <c r="A1" s="156" t="s">
        <v>296</v>
      </c>
      <c r="B1" s="135"/>
      <c r="C1" s="135"/>
      <c r="D1" s="135"/>
      <c r="E1" s="135"/>
      <c r="F1" s="135"/>
      <c r="G1" s="135"/>
      <c r="H1" s="135"/>
      <c r="I1" s="135"/>
      <c r="J1" s="135"/>
      <c r="K1" s="135"/>
      <c r="L1" s="135"/>
    </row>
    <row r="3" spans="1:12">
      <c r="A3" s="57" t="s">
        <v>297</v>
      </c>
      <c r="B3" s="57" t="s">
        <v>298</v>
      </c>
      <c r="C3" s="57" t="s">
        <v>299</v>
      </c>
      <c r="D3" s="57" t="s">
        <v>2</v>
      </c>
      <c r="E3" s="57" t="s">
        <v>300</v>
      </c>
      <c r="F3" s="57" t="s">
        <v>301</v>
      </c>
      <c r="G3" s="57" t="s">
        <v>5</v>
      </c>
      <c r="H3" s="57" t="s">
        <v>302</v>
      </c>
      <c r="I3" s="57" t="s">
        <v>303</v>
      </c>
      <c r="J3" s="57" t="s">
        <v>304</v>
      </c>
      <c r="K3" s="57" t="s">
        <v>305</v>
      </c>
    </row>
    <row r="4" spans="1:12" ht="132" customHeight="1">
      <c r="A4" s="157" t="s">
        <v>306</v>
      </c>
      <c r="B4" s="46"/>
      <c r="C4" s="101" t="s">
        <v>307</v>
      </c>
      <c r="D4" s="157" t="s">
        <v>6</v>
      </c>
      <c r="E4" s="158" t="s">
        <v>308</v>
      </c>
      <c r="F4" s="101" t="s">
        <v>56</v>
      </c>
      <c r="G4" s="157" t="s">
        <v>309</v>
      </c>
      <c r="H4" s="157" t="s">
        <v>310</v>
      </c>
      <c r="I4" s="101"/>
      <c r="J4" s="101" t="s">
        <v>311</v>
      </c>
      <c r="K4" s="101" t="s">
        <v>312</v>
      </c>
    </row>
    <row r="5" spans="1:12" ht="76.5" customHeight="1">
      <c r="A5" s="157" t="s">
        <v>313</v>
      </c>
      <c r="B5" s="46"/>
      <c r="C5" s="101" t="s">
        <v>314</v>
      </c>
      <c r="D5" s="157" t="s">
        <v>6</v>
      </c>
      <c r="E5" s="158" t="s">
        <v>315</v>
      </c>
      <c r="F5" s="101" t="s">
        <v>60</v>
      </c>
      <c r="G5" s="157" t="s">
        <v>309</v>
      </c>
      <c r="H5" s="157" t="s">
        <v>310</v>
      </c>
      <c r="I5" s="101"/>
      <c r="J5" s="101" t="s">
        <v>316</v>
      </c>
      <c r="K5" s="101" t="s">
        <v>317</v>
      </c>
    </row>
    <row r="6" spans="1:12" ht="76.5" customHeight="1">
      <c r="A6" s="157" t="s">
        <v>318</v>
      </c>
      <c r="B6" s="46"/>
      <c r="C6" s="101" t="s">
        <v>319</v>
      </c>
      <c r="D6" s="157" t="s">
        <v>6</v>
      </c>
      <c r="E6" s="158" t="s">
        <v>308</v>
      </c>
      <c r="F6" s="101" t="s">
        <v>48</v>
      </c>
      <c r="G6" s="157" t="s">
        <v>309</v>
      </c>
      <c r="H6" s="157" t="s">
        <v>310</v>
      </c>
      <c r="I6" s="101"/>
      <c r="J6" s="101" t="s">
        <v>80</v>
      </c>
      <c r="K6" s="101" t="s">
        <v>320</v>
      </c>
    </row>
    <row r="7" spans="1:12" ht="76.5" customHeight="1">
      <c r="A7" s="157" t="s">
        <v>321</v>
      </c>
      <c r="B7" s="47" t="s">
        <v>322</v>
      </c>
      <c r="C7" s="101" t="s">
        <v>323</v>
      </c>
      <c r="D7" s="157" t="s">
        <v>6</v>
      </c>
      <c r="E7" s="158" t="s">
        <v>315</v>
      </c>
      <c r="F7" s="101" t="s">
        <v>40</v>
      </c>
      <c r="G7" s="157" t="s">
        <v>309</v>
      </c>
      <c r="H7" s="157" t="s">
        <v>310</v>
      </c>
      <c r="I7" s="101"/>
      <c r="J7" s="101" t="s">
        <v>80</v>
      </c>
      <c r="K7" s="101" t="s">
        <v>324</v>
      </c>
    </row>
    <row r="8" spans="1:12" ht="76.5" customHeight="1">
      <c r="A8" s="157" t="s">
        <v>325</v>
      </c>
      <c r="B8" s="47" t="s">
        <v>322</v>
      </c>
      <c r="C8" s="101" t="s">
        <v>326</v>
      </c>
      <c r="D8" s="157" t="s">
        <v>6</v>
      </c>
      <c r="E8" s="158" t="s">
        <v>315</v>
      </c>
      <c r="F8" s="101" t="s">
        <v>46</v>
      </c>
      <c r="G8" s="157" t="s">
        <v>309</v>
      </c>
      <c r="H8" s="157" t="s">
        <v>310</v>
      </c>
      <c r="I8" s="101"/>
      <c r="J8" s="101" t="s">
        <v>80</v>
      </c>
      <c r="K8" s="101" t="s">
        <v>324</v>
      </c>
    </row>
    <row r="9" spans="1:12" ht="76.5" customHeight="1">
      <c r="A9" s="157" t="s">
        <v>327</v>
      </c>
      <c r="B9" s="46"/>
      <c r="C9" s="101" t="s">
        <v>328</v>
      </c>
      <c r="D9" s="157" t="s">
        <v>6</v>
      </c>
      <c r="E9" s="158" t="s">
        <v>329</v>
      </c>
      <c r="F9" s="101" t="s">
        <v>40</v>
      </c>
      <c r="G9" s="157" t="s">
        <v>9</v>
      </c>
      <c r="H9" s="157" t="s">
        <v>310</v>
      </c>
      <c r="I9" s="101" t="s">
        <v>321</v>
      </c>
      <c r="J9" s="101" t="s">
        <v>330</v>
      </c>
      <c r="K9" s="101" t="s">
        <v>331</v>
      </c>
    </row>
    <row r="10" spans="1:12" ht="76.5" customHeight="1">
      <c r="A10" s="157" t="s">
        <v>332</v>
      </c>
      <c r="B10" s="46"/>
      <c r="C10" s="101" t="s">
        <v>333</v>
      </c>
      <c r="D10" s="157" t="s">
        <v>6</v>
      </c>
      <c r="E10" s="158" t="s">
        <v>329</v>
      </c>
      <c r="F10" s="101" t="s">
        <v>46</v>
      </c>
      <c r="G10" s="157" t="s">
        <v>9</v>
      </c>
      <c r="H10" s="157" t="s">
        <v>310</v>
      </c>
      <c r="I10" s="101" t="s">
        <v>325</v>
      </c>
      <c r="J10" s="101" t="s">
        <v>330</v>
      </c>
      <c r="K10" s="101" t="s">
        <v>331</v>
      </c>
    </row>
    <row r="11" spans="1:12" ht="76.5" customHeight="1">
      <c r="A11" s="157" t="s">
        <v>334</v>
      </c>
      <c r="B11" s="46"/>
      <c r="C11" s="101" t="s">
        <v>335</v>
      </c>
      <c r="D11" s="157" t="s">
        <v>6</v>
      </c>
      <c r="E11" s="158" t="s">
        <v>329</v>
      </c>
      <c r="F11" s="101" t="s">
        <v>60</v>
      </c>
      <c r="G11" s="157" t="s">
        <v>9</v>
      </c>
      <c r="H11" s="157" t="s">
        <v>310</v>
      </c>
      <c r="I11" s="101" t="s">
        <v>313</v>
      </c>
      <c r="J11" s="101" t="s">
        <v>330</v>
      </c>
      <c r="K11" s="101" t="s">
        <v>331</v>
      </c>
    </row>
    <row r="12" spans="1:12" ht="76.5" customHeight="1">
      <c r="A12" s="157" t="s">
        <v>336</v>
      </c>
      <c r="B12" s="46"/>
      <c r="C12" s="101" t="s">
        <v>337</v>
      </c>
      <c r="D12" s="157" t="s">
        <v>6</v>
      </c>
      <c r="E12" s="158" t="s">
        <v>338</v>
      </c>
      <c r="F12" s="101" t="s">
        <v>339</v>
      </c>
      <c r="G12" s="157" t="s">
        <v>340</v>
      </c>
      <c r="H12" s="157" t="s">
        <v>310</v>
      </c>
      <c r="I12" s="101"/>
      <c r="J12" s="101" t="s">
        <v>105</v>
      </c>
      <c r="K12" s="101" t="s">
        <v>341</v>
      </c>
    </row>
    <row r="13" spans="1:12" ht="121.5" customHeight="1">
      <c r="A13" s="159" t="s">
        <v>342</v>
      </c>
      <c r="B13" s="48"/>
      <c r="C13" s="106" t="s">
        <v>343</v>
      </c>
      <c r="D13" s="159" t="s">
        <v>10</v>
      </c>
      <c r="E13" s="160" t="s">
        <v>308</v>
      </c>
      <c r="F13" s="106" t="s">
        <v>48</v>
      </c>
      <c r="G13" s="159" t="s">
        <v>340</v>
      </c>
      <c r="H13" s="159" t="s">
        <v>310</v>
      </c>
      <c r="I13" s="106"/>
      <c r="J13" s="106" t="s">
        <v>344</v>
      </c>
      <c r="K13" s="106" t="s">
        <v>345</v>
      </c>
    </row>
    <row r="14" spans="1:12" ht="121.5" customHeight="1">
      <c r="A14" s="159" t="s">
        <v>346</v>
      </c>
      <c r="B14" s="48"/>
      <c r="C14" s="106" t="s">
        <v>347</v>
      </c>
      <c r="D14" s="159" t="s">
        <v>10</v>
      </c>
      <c r="E14" s="160" t="s">
        <v>308</v>
      </c>
      <c r="F14" s="106" t="s">
        <v>53</v>
      </c>
      <c r="G14" s="159" t="s">
        <v>340</v>
      </c>
      <c r="H14" s="159" t="s">
        <v>310</v>
      </c>
      <c r="I14" s="106"/>
      <c r="J14" s="106" t="s">
        <v>344</v>
      </c>
      <c r="K14" s="106" t="s">
        <v>345</v>
      </c>
    </row>
    <row r="15" spans="1:12" ht="106.5" customHeight="1">
      <c r="A15" s="159" t="s">
        <v>348</v>
      </c>
      <c r="B15" s="49" t="s">
        <v>349</v>
      </c>
      <c r="C15" s="106" t="s">
        <v>350</v>
      </c>
      <c r="D15" s="159" t="s">
        <v>10</v>
      </c>
      <c r="E15" s="160" t="s">
        <v>308</v>
      </c>
      <c r="F15" s="106" t="s">
        <v>339</v>
      </c>
      <c r="G15" s="159" t="s">
        <v>340</v>
      </c>
      <c r="H15" s="159" t="s">
        <v>310</v>
      </c>
      <c r="I15" s="106"/>
      <c r="J15" s="106" t="s">
        <v>351</v>
      </c>
      <c r="K15" s="106" t="s">
        <v>352</v>
      </c>
    </row>
    <row r="16" spans="1:12" ht="76.5" customHeight="1">
      <c r="A16" s="159" t="s">
        <v>353</v>
      </c>
      <c r="B16" s="48"/>
      <c r="C16" s="106" t="s">
        <v>74</v>
      </c>
      <c r="D16" s="159" t="s">
        <v>10</v>
      </c>
      <c r="E16" s="160" t="s">
        <v>329</v>
      </c>
      <c r="F16" s="106" t="s">
        <v>354</v>
      </c>
      <c r="G16" s="159" t="s">
        <v>355</v>
      </c>
      <c r="H16" s="159" t="s">
        <v>310</v>
      </c>
      <c r="I16" s="106" t="s">
        <v>348</v>
      </c>
      <c r="J16" s="106" t="s">
        <v>351</v>
      </c>
      <c r="K16" s="106" t="s">
        <v>356</v>
      </c>
    </row>
    <row r="17" spans="1:11" ht="45.75" customHeight="1">
      <c r="A17" s="159" t="s">
        <v>357</v>
      </c>
      <c r="B17" s="48"/>
      <c r="C17" s="106" t="s">
        <v>358</v>
      </c>
      <c r="D17" s="159" t="s">
        <v>10</v>
      </c>
      <c r="E17" s="160" t="s">
        <v>315</v>
      </c>
      <c r="F17" s="106" t="s">
        <v>53</v>
      </c>
      <c r="G17" s="159" t="s">
        <v>340</v>
      </c>
      <c r="H17" s="159" t="s">
        <v>310</v>
      </c>
      <c r="I17" s="106"/>
      <c r="J17" s="106" t="s">
        <v>157</v>
      </c>
      <c r="K17" s="106" t="s">
        <v>359</v>
      </c>
    </row>
    <row r="18" spans="1:11" ht="45.75" customHeight="1">
      <c r="A18" s="159" t="s">
        <v>360</v>
      </c>
      <c r="B18" s="48"/>
      <c r="C18" s="106" t="s">
        <v>361</v>
      </c>
      <c r="D18" s="159" t="s">
        <v>10</v>
      </c>
      <c r="E18" s="160" t="s">
        <v>308</v>
      </c>
      <c r="F18" s="106" t="s">
        <v>40</v>
      </c>
      <c r="G18" s="159" t="s">
        <v>355</v>
      </c>
      <c r="H18" s="159" t="s">
        <v>310</v>
      </c>
      <c r="I18" s="106" t="s">
        <v>327</v>
      </c>
      <c r="J18" s="106" t="s">
        <v>157</v>
      </c>
      <c r="K18" s="106" t="s">
        <v>362</v>
      </c>
    </row>
    <row r="19" spans="1:11" ht="45.75" customHeight="1">
      <c r="A19" s="159" t="s">
        <v>363</v>
      </c>
      <c r="B19" s="48"/>
      <c r="C19" s="106" t="s">
        <v>364</v>
      </c>
      <c r="D19" s="159" t="s">
        <v>10</v>
      </c>
      <c r="E19" s="160" t="s">
        <v>308</v>
      </c>
      <c r="F19" s="106" t="s">
        <v>46</v>
      </c>
      <c r="G19" s="159" t="s">
        <v>355</v>
      </c>
      <c r="H19" s="159" t="s">
        <v>310</v>
      </c>
      <c r="I19" s="106" t="s">
        <v>332</v>
      </c>
      <c r="J19" s="106" t="s">
        <v>157</v>
      </c>
      <c r="K19" s="106" t="s">
        <v>362</v>
      </c>
    </row>
    <row r="20" spans="1:11" ht="60.75" customHeight="1">
      <c r="A20" s="159" t="s">
        <v>365</v>
      </c>
      <c r="B20" s="48"/>
      <c r="C20" s="106" t="s">
        <v>366</v>
      </c>
      <c r="D20" s="159" t="s">
        <v>10</v>
      </c>
      <c r="E20" s="160" t="s">
        <v>308</v>
      </c>
      <c r="F20" s="106" t="s">
        <v>60</v>
      </c>
      <c r="G20" s="159" t="s">
        <v>367</v>
      </c>
      <c r="H20" s="159" t="s">
        <v>310</v>
      </c>
      <c r="I20" s="106" t="s">
        <v>368</v>
      </c>
      <c r="J20" s="106" t="s">
        <v>157</v>
      </c>
      <c r="K20" s="106" t="s">
        <v>369</v>
      </c>
    </row>
    <row r="21" spans="1:11" ht="45.75" customHeight="1">
      <c r="A21" s="159" t="s">
        <v>370</v>
      </c>
      <c r="B21" s="48"/>
      <c r="C21" s="106" t="s">
        <v>371</v>
      </c>
      <c r="D21" s="159" t="s">
        <v>10</v>
      </c>
      <c r="E21" s="160" t="s">
        <v>315</v>
      </c>
      <c r="F21" s="106" t="s">
        <v>53</v>
      </c>
      <c r="G21" s="159" t="s">
        <v>340</v>
      </c>
      <c r="H21" s="159" t="s">
        <v>310</v>
      </c>
      <c r="I21" s="106"/>
      <c r="J21" s="106" t="s">
        <v>372</v>
      </c>
      <c r="K21" s="106" t="s">
        <v>373</v>
      </c>
    </row>
    <row r="22" spans="1:11" ht="45.75" customHeight="1">
      <c r="A22" s="159" t="s">
        <v>374</v>
      </c>
      <c r="B22" s="48"/>
      <c r="C22" s="106" t="s">
        <v>375</v>
      </c>
      <c r="D22" s="159" t="s">
        <v>10</v>
      </c>
      <c r="E22" s="160" t="s">
        <v>308</v>
      </c>
      <c r="F22" s="106" t="s">
        <v>40</v>
      </c>
      <c r="G22" s="159" t="s">
        <v>367</v>
      </c>
      <c r="H22" s="159" t="s">
        <v>310</v>
      </c>
      <c r="I22" s="106" t="s">
        <v>360</v>
      </c>
      <c r="J22" s="106" t="s">
        <v>372</v>
      </c>
      <c r="K22" s="106" t="s">
        <v>376</v>
      </c>
    </row>
    <row r="23" spans="1:11" ht="45.75" customHeight="1">
      <c r="A23" s="159" t="s">
        <v>377</v>
      </c>
      <c r="B23" s="48"/>
      <c r="C23" s="106" t="s">
        <v>378</v>
      </c>
      <c r="D23" s="159" t="s">
        <v>10</v>
      </c>
      <c r="E23" s="160" t="s">
        <v>308</v>
      </c>
      <c r="F23" s="106" t="s">
        <v>46</v>
      </c>
      <c r="G23" s="159" t="s">
        <v>367</v>
      </c>
      <c r="H23" s="159" t="s">
        <v>310</v>
      </c>
      <c r="I23" s="106" t="s">
        <v>363</v>
      </c>
      <c r="J23" s="106" t="s">
        <v>372</v>
      </c>
      <c r="K23" s="106" t="s">
        <v>376</v>
      </c>
    </row>
    <row r="24" spans="1:11" ht="45.75" customHeight="1">
      <c r="A24" s="159" t="s">
        <v>379</v>
      </c>
      <c r="B24" s="48"/>
      <c r="C24" s="106" t="s">
        <v>380</v>
      </c>
      <c r="D24" s="159" t="s">
        <v>10</v>
      </c>
      <c r="E24" s="160" t="s">
        <v>308</v>
      </c>
      <c r="F24" s="106" t="s">
        <v>60</v>
      </c>
      <c r="G24" s="159" t="s">
        <v>381</v>
      </c>
      <c r="H24" s="159" t="s">
        <v>310</v>
      </c>
      <c r="I24" s="106" t="s">
        <v>365</v>
      </c>
      <c r="J24" s="106" t="s">
        <v>372</v>
      </c>
      <c r="K24" s="106" t="s">
        <v>376</v>
      </c>
    </row>
    <row r="25" spans="1:11" ht="60.75" customHeight="1">
      <c r="A25" s="159" t="s">
        <v>382</v>
      </c>
      <c r="B25" s="48"/>
      <c r="C25" s="106" t="s">
        <v>98</v>
      </c>
      <c r="D25" s="159" t="s">
        <v>10</v>
      </c>
      <c r="E25" s="160" t="s">
        <v>329</v>
      </c>
      <c r="F25" s="106" t="s">
        <v>339</v>
      </c>
      <c r="G25" s="159" t="s">
        <v>367</v>
      </c>
      <c r="H25" s="159" t="s">
        <v>310</v>
      </c>
      <c r="I25" s="106"/>
      <c r="J25" s="106" t="s">
        <v>383</v>
      </c>
      <c r="K25" s="106" t="s">
        <v>384</v>
      </c>
    </row>
    <row r="26" spans="1:11" ht="91.5" customHeight="1">
      <c r="A26" s="161" t="s">
        <v>385</v>
      </c>
      <c r="B26" s="50"/>
      <c r="C26" s="110" t="s">
        <v>100</v>
      </c>
      <c r="D26" s="161" t="s">
        <v>14</v>
      </c>
      <c r="E26" s="162" t="s">
        <v>308</v>
      </c>
      <c r="F26" s="110" t="s">
        <v>339</v>
      </c>
      <c r="G26" s="161" t="s">
        <v>386</v>
      </c>
      <c r="H26" s="161" t="s">
        <v>310</v>
      </c>
      <c r="I26" s="110"/>
      <c r="J26" s="110" t="s">
        <v>101</v>
      </c>
      <c r="K26" s="110" t="s">
        <v>387</v>
      </c>
    </row>
    <row r="27" spans="1:11" ht="76.5" customHeight="1">
      <c r="A27" s="161" t="s">
        <v>388</v>
      </c>
      <c r="B27" s="50"/>
      <c r="C27" s="110" t="s">
        <v>389</v>
      </c>
      <c r="D27" s="161" t="s">
        <v>14</v>
      </c>
      <c r="E27" s="162" t="s">
        <v>315</v>
      </c>
      <c r="F27" s="110" t="s">
        <v>48</v>
      </c>
      <c r="G27" s="161" t="s">
        <v>386</v>
      </c>
      <c r="H27" s="161" t="s">
        <v>310</v>
      </c>
      <c r="I27" s="110"/>
      <c r="J27" s="110" t="s">
        <v>390</v>
      </c>
      <c r="K27" s="110" t="s">
        <v>391</v>
      </c>
    </row>
    <row r="28" spans="1:11" ht="76.5" customHeight="1">
      <c r="A28" s="161" t="s">
        <v>392</v>
      </c>
      <c r="B28" s="50"/>
      <c r="C28" s="110" t="s">
        <v>393</v>
      </c>
      <c r="D28" s="161" t="s">
        <v>14</v>
      </c>
      <c r="E28" s="162" t="s">
        <v>315</v>
      </c>
      <c r="F28" s="110" t="s">
        <v>53</v>
      </c>
      <c r="G28" s="161" t="s">
        <v>386</v>
      </c>
      <c r="H28" s="161" t="s">
        <v>310</v>
      </c>
      <c r="I28" s="110"/>
      <c r="J28" s="110" t="s">
        <v>390</v>
      </c>
      <c r="K28" s="110" t="s">
        <v>391</v>
      </c>
    </row>
    <row r="29" spans="1:11" ht="76.5" customHeight="1">
      <c r="A29" s="161" t="s">
        <v>394</v>
      </c>
      <c r="B29" s="50"/>
      <c r="C29" s="110" t="s">
        <v>395</v>
      </c>
      <c r="D29" s="161" t="s">
        <v>14</v>
      </c>
      <c r="E29" s="162" t="s">
        <v>315</v>
      </c>
      <c r="F29" s="110" t="s">
        <v>40</v>
      </c>
      <c r="G29" s="161" t="s">
        <v>386</v>
      </c>
      <c r="H29" s="161" t="s">
        <v>310</v>
      </c>
      <c r="I29" s="110"/>
      <c r="J29" s="110" t="s">
        <v>390</v>
      </c>
      <c r="K29" s="110" t="s">
        <v>391</v>
      </c>
    </row>
    <row r="30" spans="1:11" ht="76.5" customHeight="1">
      <c r="A30" s="161" t="s">
        <v>396</v>
      </c>
      <c r="B30" s="50"/>
      <c r="C30" s="110" t="s">
        <v>397</v>
      </c>
      <c r="D30" s="161" t="s">
        <v>14</v>
      </c>
      <c r="E30" s="162" t="s">
        <v>315</v>
      </c>
      <c r="F30" s="110" t="s">
        <v>46</v>
      </c>
      <c r="G30" s="161" t="s">
        <v>386</v>
      </c>
      <c r="H30" s="161" t="s">
        <v>310</v>
      </c>
      <c r="I30" s="110"/>
      <c r="J30" s="110" t="s">
        <v>390</v>
      </c>
      <c r="K30" s="110" t="s">
        <v>391</v>
      </c>
    </row>
    <row r="31" spans="1:11" ht="76.5" customHeight="1">
      <c r="A31" s="161" t="s">
        <v>398</v>
      </c>
      <c r="B31" s="50"/>
      <c r="C31" s="110" t="s">
        <v>399</v>
      </c>
      <c r="D31" s="161" t="s">
        <v>14</v>
      </c>
      <c r="E31" s="162" t="s">
        <v>315</v>
      </c>
      <c r="F31" s="110" t="s">
        <v>60</v>
      </c>
      <c r="G31" s="161" t="s">
        <v>386</v>
      </c>
      <c r="H31" s="161" t="s">
        <v>310</v>
      </c>
      <c r="I31" s="110"/>
      <c r="J31" s="110" t="s">
        <v>390</v>
      </c>
      <c r="K31" s="110" t="s">
        <v>391</v>
      </c>
    </row>
    <row r="32" spans="1:11" ht="60.75" customHeight="1">
      <c r="A32" s="161" t="s">
        <v>400</v>
      </c>
      <c r="B32" s="51" t="s">
        <v>401</v>
      </c>
      <c r="C32" s="110" t="s">
        <v>77</v>
      </c>
      <c r="D32" s="161" t="s">
        <v>14</v>
      </c>
      <c r="E32" s="162" t="s">
        <v>308</v>
      </c>
      <c r="F32" s="110" t="s">
        <v>53</v>
      </c>
      <c r="G32" s="161" t="s">
        <v>386</v>
      </c>
      <c r="H32" s="161" t="s">
        <v>310</v>
      </c>
      <c r="I32" s="110"/>
      <c r="J32" s="110" t="s">
        <v>78</v>
      </c>
      <c r="K32" s="110" t="s">
        <v>402</v>
      </c>
    </row>
    <row r="35" spans="1:3">
      <c r="A35" s="42" t="s">
        <v>403</v>
      </c>
    </row>
    <row r="36" spans="1:3">
      <c r="A36" s="41" t="s">
        <v>404</v>
      </c>
      <c r="C36" s="41">
        <v>29</v>
      </c>
    </row>
    <row r="37" spans="1:3">
      <c r="A37" s="43" t="s">
        <v>405</v>
      </c>
      <c r="C37" s="41">
        <v>9</v>
      </c>
    </row>
    <row r="38" spans="1:3">
      <c r="A38" s="44" t="s">
        <v>406</v>
      </c>
      <c r="C38" s="41">
        <v>13</v>
      </c>
    </row>
    <row r="39" spans="1:3">
      <c r="A39" s="45" t="s">
        <v>407</v>
      </c>
      <c r="C39" s="41">
        <v>7</v>
      </c>
    </row>
    <row r="41" spans="1:3">
      <c r="A41" s="38" t="s">
        <v>408</v>
      </c>
      <c r="C41" s="33"/>
    </row>
    <row r="42" spans="1:3">
      <c r="A42" s="33" t="s">
        <v>409</v>
      </c>
      <c r="C42" s="33" t="s">
        <v>410</v>
      </c>
    </row>
    <row r="43" spans="1:3">
      <c r="A43" s="33" t="s">
        <v>411</v>
      </c>
      <c r="C43" s="33" t="s">
        <v>412</v>
      </c>
    </row>
    <row r="44" spans="1:3">
      <c r="A44" s="33" t="s">
        <v>413</v>
      </c>
      <c r="C44" s="33" t="s">
        <v>414</v>
      </c>
    </row>
    <row r="45" spans="1:3">
      <c r="A45" s="33" t="s">
        <v>415</v>
      </c>
      <c r="C45" s="33" t="s">
        <v>416</v>
      </c>
    </row>
  </sheetData>
  <mergeCells count="1">
    <mergeCell ref="A1:L1"/>
  </mergeCells>
  <hyperlinks>
    <hyperlink ref="B7" r:id="rId1" xr:uid="{00000000-0004-0000-0500-000000000000}"/>
    <hyperlink ref="B8" r:id="rId2" xr:uid="{00000000-0004-0000-0500-000001000000}"/>
    <hyperlink ref="B15" r:id="rId3" xr:uid="{00000000-0004-0000-0500-000002000000}"/>
    <hyperlink ref="B32" r:id="rId4" xr:uid="{00000000-0004-0000-05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2026-01-21T22:53:37Z</dcterms:created>
  <dcterms:modified xsi:type="dcterms:W3CDTF">2026-01-28T13:05:07Z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3535f3-a261-44fa-a080-b5a7b0a48f70_Enabled">
    <vt:lpwstr>true</vt:lpwstr>
  </property>
  <property fmtid="{D5CDD505-2E9C-101B-9397-08002B2CF9AE}" pid="3" name="MSIP_Label_163535f3-a261-44fa-a080-b5a7b0a48f70_SetDate">
    <vt:lpwstr>2026-01-21T23:02:55Z</vt:lpwstr>
  </property>
  <property fmtid="{D5CDD505-2E9C-101B-9397-08002B2CF9AE}" pid="4" name="MSIP_Label_163535f3-a261-44fa-a080-b5a7b0a48f70_Method">
    <vt:lpwstr>Standard</vt:lpwstr>
  </property>
  <property fmtid="{D5CDD505-2E9C-101B-9397-08002B2CF9AE}" pid="5" name="MSIP_Label_163535f3-a261-44fa-a080-b5a7b0a48f70_Name">
    <vt:lpwstr>UKG DLP Protected</vt:lpwstr>
  </property>
  <property fmtid="{D5CDD505-2E9C-101B-9397-08002B2CF9AE}" pid="6" name="MSIP_Label_163535f3-a261-44fa-a080-b5a7b0a48f70_SiteId">
    <vt:lpwstr>7b6f35d2-1f98-4e5e-82eb-e78f6ea5a1de</vt:lpwstr>
  </property>
  <property fmtid="{D5CDD505-2E9C-101B-9397-08002B2CF9AE}" pid="7" name="MSIP_Label_163535f3-a261-44fa-a080-b5a7b0a48f70_ActionId">
    <vt:lpwstr>3108fb19-a6f1-4297-8391-ccc068349cd3</vt:lpwstr>
  </property>
  <property fmtid="{D5CDD505-2E9C-101B-9397-08002B2CF9AE}" pid="8" name="MSIP_Label_163535f3-a261-44fa-a080-b5a7b0a48f70_ContentBits">
    <vt:lpwstr>0</vt:lpwstr>
  </property>
  <property fmtid="{D5CDD505-2E9C-101B-9397-08002B2CF9AE}" pid="9" name="MSIP_Label_163535f3-a261-44fa-a080-b5a7b0a48f70_Tag">
    <vt:lpwstr>50, 3, 0, 1</vt:lpwstr>
  </property>
</Properties>
</file>